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13"/>
  <workbookPr defaultThemeVersion="166925"/>
  <xr:revisionPtr revIDLastSave="0" documentId="8_{5BBA4B21-6F61-499E-BB34-3E9FFC982501}" xr6:coauthVersionLast="47" xr6:coauthVersionMax="47" xr10:uidLastSave="{00000000-0000-0000-0000-000000000000}"/>
  <bookViews>
    <workbookView xWindow="240" yWindow="105" windowWidth="14805" windowHeight="8010" firstSheet="5" activeTab="1" xr2:uid="{00000000-000D-0000-FFFF-FFFF00000000}"/>
  </bookViews>
  <sheets>
    <sheet name="Iris Data" sheetId="1" r:id="rId1"/>
    <sheet name="Sheet2" sheetId="2" r:id="rId2"/>
    <sheet name="Sheet1" sheetId="3" r:id="rId3"/>
    <sheet name="Sheet3" sheetId="4" r:id="rId4"/>
    <sheet name="Sheet4" sheetId="5" r:id="rId5"/>
    <sheet name="Final Dashboard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4" i="5" l="1"/>
  <c r="B3" i="5"/>
  <c r="B2" i="5"/>
  <c r="B4" i="4"/>
  <c r="B3" i="4"/>
  <c r="B2" i="4"/>
  <c r="B4" i="3"/>
  <c r="B3" i="3"/>
  <c r="B2" i="3"/>
  <c r="B4" i="2"/>
  <c r="B3" i="2"/>
  <c r="B2" i="2"/>
</calcChain>
</file>

<file path=xl/sharedStrings.xml><?xml version="1.0" encoding="utf-8"?>
<sst xmlns="http://schemas.openxmlformats.org/spreadsheetml/2006/main" count="177" uniqueCount="14">
  <si>
    <t>Id</t>
  </si>
  <si>
    <t>SepalLengthCm</t>
  </si>
  <si>
    <t>SepalWidthCm</t>
  </si>
  <si>
    <t>PetalLengthCm</t>
  </si>
  <si>
    <t>PetalWidthCm</t>
  </si>
  <si>
    <t>Species</t>
  </si>
  <si>
    <t>Iris-setosa</t>
  </si>
  <si>
    <t>Iris-versicolor</t>
  </si>
  <si>
    <t>Iris-virginica</t>
  </si>
  <si>
    <t>Average Petal Length</t>
  </si>
  <si>
    <t>Average Sepal Length</t>
  </si>
  <si>
    <t>Count</t>
  </si>
  <si>
    <t>Average Petal Width</t>
  </si>
  <si>
    <t>IRIS DATASET — CHART STORY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</si>
</sst>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8"/>
      <color rgb="FF000000"/>
      <name val="Helvetica Neue"/>
      <charset val="1"/>
    </font>
    <font>
      <sz val="8"/>
      <color rgb="FF000000"/>
      <name val="Helvetica Neue"/>
      <charset val="1"/>
    </font>
    <font>
      <b/>
      <sz val="11"/>
      <color theme="0"/>
      <name val="Helvetica Neue"/>
      <charset val="1"/>
    </font>
    <font>
      <sz val="8"/>
      <color rgb="FF000000"/>
      <name val="Calibri"/>
      <scheme val="minor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8"/>
      <color rgb="FF000000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4D4D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-0.499984740745262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7" fillId="0" borderId="0" xfId="0" applyFont="1"/>
    <xf numFmtId="0" fontId="9" fillId="0" borderId="0" xfId="0" applyFont="1"/>
    <xf numFmtId="0" fontId="8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Petal Length (cm)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Average Petal Length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Sheet2!$A$2:$A$4</c:f>
              <c:strCache>
                <c:ptCount val="3"/>
                <c:pt idx="0">
                  <c:v>Iris-setosa</c:v>
                </c:pt>
                <c:pt idx="1">
                  <c:v>Iris-versicolor</c:v>
                </c:pt>
                <c:pt idx="2">
                  <c:v>Iris-virginica</c:v>
                </c:pt>
              </c:strCache>
            </c:strRef>
          </c:cat>
          <c:val>
            <c:numRef>
              <c:f>Sheet2!$B$2:$B$4</c:f>
              <c:numCache>
                <c:formatCode>General</c:formatCode>
                <c:ptCount val="3"/>
                <c:pt idx="0">
                  <c:v>1.464</c:v>
                </c:pt>
                <c:pt idx="1">
                  <c:v>4.26</c:v>
                </c:pt>
                <c:pt idx="2">
                  <c:v>5.5519999999999996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6E-49C6-9DF4-FE43670902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3847432"/>
        <c:axId val="1303849480"/>
      </c:barChart>
      <c:catAx>
        <c:axId val="1303847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3849480"/>
        <c:crosses val="autoZero"/>
        <c:auto val="1"/>
        <c:lblAlgn val="ctr"/>
        <c:lblOffset val="100"/>
        <c:noMultiLvlLbl val="0"/>
      </c:catAx>
      <c:valAx>
        <c:axId val="130384948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303847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Sepal Length by Iris Species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Sheet1!$A$2:$A$4</c:f>
              <c:strCache>
                <c:ptCount val="3"/>
                <c:pt idx="0">
                  <c:v>Iris-setosa</c:v>
                </c:pt>
                <c:pt idx="1">
                  <c:v>Iris-versicolor</c:v>
                </c:pt>
                <c:pt idx="2">
                  <c:v>Iris-virginica</c:v>
                </c:pt>
              </c:strCache>
            </c:strRef>
          </c:cat>
          <c:val>
            <c:numRef>
              <c:f>Sheet1!$B$2:$B$4</c:f>
              <c:numCache>
                <c:formatCode>General</c:formatCode>
                <c:ptCount val="3"/>
                <c:pt idx="0">
                  <c:v>5.0059999999999993</c:v>
                </c:pt>
                <c:pt idx="1">
                  <c:v>5.9359999999999999</c:v>
                </c:pt>
                <c:pt idx="2">
                  <c:v>6.5879999999999983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5D-4F3D-A755-61E5A65802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8"/>
        <c:axId val="1488005128"/>
        <c:axId val="1911406600"/>
      </c:barChart>
      <c:catAx>
        <c:axId val="14880051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1406600"/>
        <c:crosses val="autoZero"/>
        <c:auto val="1"/>
        <c:lblAlgn val="ctr"/>
        <c:lblOffset val="100"/>
        <c:noMultiLvlLbl val="0"/>
      </c:catAx>
      <c:valAx>
        <c:axId val="191140660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4880051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Dataset Composition by Species.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spPr>
            <a:ln w="19050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c:spPr>
          <c:dPt>
            <c:idx val="0"/>
            <c:bubble3D val="0"/>
            <c:spPr>
              <a:solidFill>
                <a:schemeClr val="accent1"/>
              </a:solidFill>
              <a:ln w="19050" cap="flat" cmpd="sng" algn="ctr">
                <a:solidFill>
                  <a:srgbClr val="000000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  <c:extLst>
              <c:ext xmlns:c16="http://schemas.microsoft.com/office/drawing/2014/chart" uri="{C3380CC4-5D6E-409C-BE32-E72D297353CC}">
                <c16:uniqueId val="{00000001-6BD0-46BC-A461-1285465958F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 cap="flat" cmpd="sng" algn="ctr">
                <a:solidFill>
                  <a:srgbClr val="000000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  <c:extLst>
              <c:ext xmlns:c16="http://schemas.microsoft.com/office/drawing/2014/chart" uri="{C3380CC4-5D6E-409C-BE32-E72D297353CC}">
                <c16:uniqueId val="{00000003-6BD0-46BC-A461-1285465958F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 cap="flat" cmpd="sng" algn="ctr">
                <a:solidFill>
                  <a:srgbClr val="000000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  <c:extLst>
              <c:ext xmlns:c16="http://schemas.microsoft.com/office/drawing/2014/chart" uri="{C3380CC4-5D6E-409C-BE32-E72D297353CC}">
                <c16:uniqueId val="{00000005-6BD0-46BC-A461-1285465958F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Sheet3!$A$2:$A$4</c:f>
              <c:strCache>
                <c:ptCount val="3"/>
                <c:pt idx="0">
                  <c:v>Iris-setosa</c:v>
                </c:pt>
                <c:pt idx="1">
                  <c:v>Iris-versicolor</c:v>
                </c:pt>
                <c:pt idx="2">
                  <c:v>Iris-virginica</c:v>
                </c:pt>
              </c:strCache>
            </c:strRef>
          </c:cat>
          <c:val>
            <c:numRef>
              <c:f>Sheet3!$B$2:$B$4</c:f>
              <c:numCache>
                <c:formatCode>General</c:formatCode>
                <c:ptCount val="3"/>
                <c:pt idx="0">
                  <c:v>50</c:v>
                </c:pt>
                <c:pt idx="1">
                  <c:v>50</c:v>
                </c:pt>
                <c:pt idx="2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B6-4590-9AC2-5E8DCD91F5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Petal Width by Iris Species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Sheet4!$B$1</c:f>
              <c:strCache>
                <c:ptCount val="1"/>
                <c:pt idx="0">
                  <c:v>Average Petal Width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Sheet4!$A$2:$A$4</c:f>
              <c:strCache>
                <c:ptCount val="3"/>
                <c:pt idx="0">
                  <c:v>Iris-setosa</c:v>
                </c:pt>
                <c:pt idx="1">
                  <c:v>Iris-versicolor</c:v>
                </c:pt>
                <c:pt idx="2">
                  <c:v>Iris-virginica</c:v>
                </c:pt>
              </c:strCache>
            </c:strRef>
          </c:cat>
          <c:val>
            <c:numRef>
              <c:f>Sheet4!$B$2:$B$4</c:f>
              <c:numCache>
                <c:formatCode>General</c:formatCode>
                <c:ptCount val="3"/>
                <c:pt idx="0">
                  <c:v>0.24399999999999991</c:v>
                </c:pt>
                <c:pt idx="1">
                  <c:v>1.3259999999999998</c:v>
                </c:pt>
                <c:pt idx="2">
                  <c:v>2.0259999999999998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0C-4113-BCFA-BEBDBABCFA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4"/>
        <c:overlap val="-27"/>
        <c:axId val="1948194312"/>
        <c:axId val="1948196360"/>
      </c:barChart>
      <c:catAx>
        <c:axId val="1948194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8196360"/>
        <c:crosses val="autoZero"/>
        <c:auto val="1"/>
        <c:lblAlgn val="ctr"/>
        <c:lblOffset val="100"/>
        <c:noMultiLvlLbl val="0"/>
      </c:catAx>
      <c:valAx>
        <c:axId val="194819636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9481943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Petal Length (cm)</a:t>
            </a:r>
          </a:p>
        </c:rich>
      </c:tx>
      <c:overlay val="0"/>
      <c:spPr>
        <a:solidFill>
          <a:srgbClr val="FCE4D6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Average Petal Length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Sheet2!$A$2:$A$4</c:f>
              <c:strCache>
                <c:ptCount val="3"/>
                <c:pt idx="0">
                  <c:v>Iris-setosa</c:v>
                </c:pt>
                <c:pt idx="1">
                  <c:v>Iris-versicolor</c:v>
                </c:pt>
                <c:pt idx="2">
                  <c:v>Iris-virginica</c:v>
                </c:pt>
              </c:strCache>
            </c:strRef>
          </c:cat>
          <c:val>
            <c:numRef>
              <c:f>Sheet2!$B$2:$B$4</c:f>
              <c:numCache>
                <c:formatCode>General</c:formatCode>
                <c:ptCount val="3"/>
                <c:pt idx="0">
                  <c:v>1.464</c:v>
                </c:pt>
                <c:pt idx="1">
                  <c:v>4.26</c:v>
                </c:pt>
                <c:pt idx="2">
                  <c:v>5.5519999999999996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60-479D-97B4-95031DF96C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3847432"/>
        <c:axId val="1303849480"/>
      </c:barChart>
      <c:catAx>
        <c:axId val="1303847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solidFill>
            <a:srgbClr val="FFFFFF"/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3849480"/>
        <c:crosses val="autoZero"/>
        <c:auto val="1"/>
        <c:lblAlgn val="ctr"/>
        <c:lblOffset val="100"/>
        <c:noMultiLvlLbl val="0"/>
      </c:catAx>
      <c:valAx>
        <c:axId val="130384948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303847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Sepal Length by Iris Species</a:t>
            </a:r>
          </a:p>
        </c:rich>
      </c:tx>
      <c:overlay val="0"/>
      <c:spPr>
        <a:solidFill>
          <a:srgbClr val="BDD7EE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ED7D3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Sheet1!$A$2:$A$4</c:f>
              <c:strCache>
                <c:ptCount val="3"/>
                <c:pt idx="0">
                  <c:v>Iris-setosa</c:v>
                </c:pt>
                <c:pt idx="1">
                  <c:v>Iris-versicolor</c:v>
                </c:pt>
                <c:pt idx="2">
                  <c:v>Iris-virginica</c:v>
                </c:pt>
              </c:strCache>
            </c:strRef>
          </c:cat>
          <c:val>
            <c:numRef>
              <c:f>Sheet1!$B$2:$B$4</c:f>
              <c:numCache>
                <c:formatCode>General</c:formatCode>
                <c:ptCount val="3"/>
                <c:pt idx="0">
                  <c:v>5.0059999999999993</c:v>
                </c:pt>
                <c:pt idx="1">
                  <c:v>5.9359999999999999</c:v>
                </c:pt>
                <c:pt idx="2">
                  <c:v>6.5879999999999983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D3-4C38-B117-9114BEAD56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8"/>
        <c:axId val="1488005128"/>
        <c:axId val="1911406600"/>
      </c:barChart>
      <c:catAx>
        <c:axId val="14880051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1406600"/>
        <c:crosses val="autoZero"/>
        <c:auto val="1"/>
        <c:lblAlgn val="ctr"/>
        <c:lblOffset val="100"/>
        <c:noMultiLvlLbl val="0"/>
      </c:catAx>
      <c:valAx>
        <c:axId val="191140660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4880051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Dataset Composition by Species</a:t>
            </a:r>
          </a:p>
        </c:rich>
      </c:tx>
      <c:overlay val="0"/>
      <c:spPr>
        <a:solidFill>
          <a:srgbClr val="DBDBDB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6FD-42DB-9C2F-3D0D7230858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6FD-42DB-9C2F-3D0D7230858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6FD-42DB-9C2F-3D0D7230858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Sheet3!$A$2:$A$4</c:f>
              <c:strCache>
                <c:ptCount val="3"/>
                <c:pt idx="0">
                  <c:v>Iris-setosa</c:v>
                </c:pt>
                <c:pt idx="1">
                  <c:v>Iris-versicolor</c:v>
                </c:pt>
                <c:pt idx="2">
                  <c:v>Iris-virginica</c:v>
                </c:pt>
              </c:strCache>
            </c:strRef>
          </c:cat>
          <c:val>
            <c:numRef>
              <c:f>Sheet3!$B$2:$B$4</c:f>
              <c:numCache>
                <c:formatCode>General</c:formatCode>
                <c:ptCount val="3"/>
                <c:pt idx="0">
                  <c:v>50</c:v>
                </c:pt>
                <c:pt idx="1">
                  <c:v>50</c:v>
                </c:pt>
                <c:pt idx="2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6FD-42DB-9C2F-3D0D723085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Petal Width by Iris Species</a:t>
            </a:r>
          </a:p>
        </c:rich>
      </c:tx>
      <c:overlay val="0"/>
      <c:spPr>
        <a:solidFill>
          <a:srgbClr val="C6E0B4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Sheet4!$B$1</c:f>
              <c:strCache>
                <c:ptCount val="1"/>
                <c:pt idx="0">
                  <c:v>Average Petal Width</c:v>
                </c:pt>
              </c:strCache>
            </c:strRef>
          </c:tx>
          <c:spPr>
            <a:solidFill>
              <a:srgbClr val="70AD47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Sheet4!$A$2:$A$4</c:f>
              <c:strCache>
                <c:ptCount val="3"/>
                <c:pt idx="0">
                  <c:v>Iris-setosa</c:v>
                </c:pt>
                <c:pt idx="1">
                  <c:v>Iris-versicolor</c:v>
                </c:pt>
                <c:pt idx="2">
                  <c:v>Iris-virginica</c:v>
                </c:pt>
              </c:strCache>
            </c:strRef>
          </c:cat>
          <c:val>
            <c:numRef>
              <c:f>Sheet4!$B$2:$B$4</c:f>
              <c:numCache>
                <c:formatCode>General</c:formatCode>
                <c:ptCount val="3"/>
                <c:pt idx="0">
                  <c:v>0.24399999999999991</c:v>
                </c:pt>
                <c:pt idx="1">
                  <c:v>1.3259999999999998</c:v>
                </c:pt>
                <c:pt idx="2">
                  <c:v>2.0259999999999998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B3-4532-BF4F-0610D413C2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4"/>
        <c:overlap val="-27"/>
        <c:axId val="1948194312"/>
        <c:axId val="1948196360"/>
      </c:barChart>
      <c:catAx>
        <c:axId val="1948194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8196360"/>
        <c:crosses val="autoZero"/>
        <c:auto val="1"/>
        <c:lblAlgn val="ctr"/>
        <c:lblOffset val="100"/>
        <c:noMultiLvlLbl val="0"/>
      </c:catAx>
      <c:valAx>
        <c:axId val="194819636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9481943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552450</xdr:colOff>
      <xdr:row>0</xdr:row>
      <xdr:rowOff>57150</xdr:rowOff>
    </xdr:from>
    <xdr:to>
      <xdr:col>10</xdr:col>
      <xdr:colOff>247650</xdr:colOff>
      <xdr:row>12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247B031-6153-6A98-089C-4E14CE46B5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581025</xdr:colOff>
      <xdr:row>0</xdr:row>
      <xdr:rowOff>76200</xdr:rowOff>
    </xdr:from>
    <xdr:to>
      <xdr:col>11</xdr:col>
      <xdr:colOff>276225</xdr:colOff>
      <xdr:row>12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7E7417-DABF-BF96-CA37-D88E4285CB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314325</xdr:colOff>
      <xdr:row>0</xdr:row>
      <xdr:rowOff>19050</xdr:rowOff>
    </xdr:from>
    <xdr:to>
      <xdr:col>11</xdr:col>
      <xdr:colOff>9525</xdr:colOff>
      <xdr:row>11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F6EDD63-17B7-0705-5E90-6B88400183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314325</xdr:colOff>
      <xdr:row>0</xdr:row>
      <xdr:rowOff>104775</xdr:rowOff>
    </xdr:from>
    <xdr:to>
      <xdr:col>11</xdr:col>
      <xdr:colOff>9525</xdr:colOff>
      <xdr:row>11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45D716-0E9D-A55A-45C5-0E8C15AA66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142875</xdr:rowOff>
    </xdr:from>
    <xdr:to>
      <xdr:col>4</xdr:col>
      <xdr:colOff>247650</xdr:colOff>
      <xdr:row>11</xdr:row>
      <xdr:rowOff>66675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A8B35E33-77F1-47BA-8E43-DA01D0793D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95250</xdr:colOff>
      <xdr:row>1</xdr:row>
      <xdr:rowOff>180975</xdr:rowOff>
    </xdr:from>
    <xdr:to>
      <xdr:col>12</xdr:col>
      <xdr:colOff>38100</xdr:colOff>
      <xdr:row>11</xdr:row>
      <xdr:rowOff>171450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C3C7E929-1CC7-4DA8-9901-9E8A306EABAD}"/>
            </a:ext>
            <a:ext uri="{147F2762-F138-4A5C-976F-8EAC2B608ADB}">
              <a16:predDERef xmlns:a16="http://schemas.microsoft.com/office/drawing/2014/main" pred="{A8B35E33-77F1-47BA-8E43-DA01D0793D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38100</xdr:colOff>
      <xdr:row>12</xdr:row>
      <xdr:rowOff>161925</xdr:rowOff>
    </xdr:from>
    <xdr:to>
      <xdr:col>4</xdr:col>
      <xdr:colOff>266700</xdr:colOff>
      <xdr:row>25</xdr:row>
      <xdr:rowOff>19050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C911BCA-140E-4733-8EC2-347A09E17AB5}"/>
            </a:ext>
            <a:ext uri="{147F2762-F138-4A5C-976F-8EAC2B608ADB}">
              <a16:predDERef xmlns:a16="http://schemas.microsoft.com/office/drawing/2014/main" pred="{C3C7E929-1CC7-4DA8-9901-9E8A306EAB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142875</xdr:colOff>
      <xdr:row>13</xdr:row>
      <xdr:rowOff>9525</xdr:rowOff>
    </xdr:from>
    <xdr:to>
      <xdr:col>12</xdr:col>
      <xdr:colOff>123825</xdr:colOff>
      <xdr:row>24</xdr:row>
      <xdr:rowOff>9525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ED98C58-CFBA-4B8F-B241-C90891EF1367}"/>
            </a:ext>
            <a:ext uri="{147F2762-F138-4A5C-976F-8EAC2B608ADB}">
              <a16:predDERef xmlns:a16="http://schemas.microsoft.com/office/drawing/2014/main" pred="{AC911BCA-140E-4733-8EC2-347A09E17A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38100</xdr:colOff>
      <xdr:row>28</xdr:row>
      <xdr:rowOff>9525</xdr:rowOff>
    </xdr:from>
    <xdr:to>
      <xdr:col>12</xdr:col>
      <xdr:colOff>333375</xdr:colOff>
      <xdr:row>36</xdr:row>
      <xdr:rowOff>142875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21312494-EADA-DFB0-FD07-F73FDA10F327}"/>
            </a:ext>
            <a:ext uri="{147F2762-F138-4A5C-976F-8EAC2B608ADB}">
              <a16:predDERef xmlns:a16="http://schemas.microsoft.com/office/drawing/2014/main" pred="{1ED98C58-CFBA-4B8F-B241-C90891EF1367}"/>
            </a:ext>
          </a:extLst>
        </xdr:cNvPr>
        <xdr:cNvSpPr txBox="1"/>
      </xdr:nvSpPr>
      <xdr:spPr>
        <a:xfrm>
          <a:off x="38100" y="5524500"/>
          <a:ext cx="9496425" cy="16573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600">
              <a:latin typeface="+mn-lt"/>
              <a:ea typeface="+mn-lt"/>
              <a:cs typeface="+mn-lt"/>
            </a:rPr>
            <a:t>Petal measurements distinguish the three Iris species clearly. Iris-setosa has the smallest average petal length and width, Iris-versicolor is intermediate, and Iris-virginica has the largest petals. Average sepal length increases from setosa to virginica more gradually. Each species has 50 records, making the dataset evenly distributed and suitable for comparison.</a:t>
          </a:r>
        </a:p>
      </xdr:txBody>
    </xdr:sp>
    <xdr:clientData/>
  </xdr:twoCellAnchor>
  <xdr:twoCellAnchor>
    <xdr:from>
      <xdr:col>0</xdr:col>
      <xdr:colOff>85725</xdr:colOff>
      <xdr:row>26</xdr:row>
      <xdr:rowOff>104775</xdr:rowOff>
    </xdr:from>
    <xdr:to>
      <xdr:col>2</xdr:col>
      <xdr:colOff>104775</xdr:colOff>
      <xdr:row>28</xdr:row>
      <xdr:rowOff>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FDCCCFF-8F02-4338-0080-3B73C6BC6020}"/>
            </a:ext>
            <a:ext uri="{147F2762-F138-4A5C-976F-8EAC2B608ADB}">
              <a16:predDERef xmlns:a16="http://schemas.microsoft.com/office/drawing/2014/main" pred="{21312494-EADA-DFB0-FD07-F73FDA10F327}"/>
            </a:ext>
          </a:extLst>
        </xdr:cNvPr>
        <xdr:cNvSpPr txBox="1"/>
      </xdr:nvSpPr>
      <xdr:spPr>
        <a:xfrm>
          <a:off x="85725" y="5133975"/>
          <a:ext cx="3124200" cy="3810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800" b="1">
              <a:latin typeface="+mn-lt"/>
              <a:ea typeface="+mn-lt"/>
              <a:cs typeface="+mn-lt"/>
            </a:rPr>
            <a:t>KEY INSIGHTS — IRIS DATASET:-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1"/>
  <sheetViews>
    <sheetView showGridLines="0" topLeftCell="A20" workbookViewId="0">
      <selection activeCell="E1" sqref="E1:E1048576"/>
    </sheetView>
  </sheetViews>
  <sheetFormatPr defaultRowHeight="15"/>
  <cols>
    <col min="1" max="1" width="7.140625" customWidth="1"/>
    <col min="2" max="2" width="18" customWidth="1"/>
    <col min="3" max="3" width="18.140625" customWidth="1"/>
    <col min="4" max="4" width="15.7109375" customWidth="1"/>
    <col min="5" max="5" width="16.42578125" customWidth="1"/>
    <col min="6" max="6" width="11.28515625" customWidth="1"/>
  </cols>
  <sheetData>
    <row r="1" spans="1:6" ht="21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ht="20.25" customHeight="1">
      <c r="A2" s="1">
        <v>1</v>
      </c>
      <c r="B2" s="2">
        <v>5.0999999999999996</v>
      </c>
      <c r="C2" s="2">
        <v>3.5</v>
      </c>
      <c r="D2" s="2">
        <v>1.4</v>
      </c>
      <c r="E2" s="2">
        <v>0.2</v>
      </c>
      <c r="F2" s="2" t="s">
        <v>6</v>
      </c>
    </row>
    <row r="3" spans="1:6" ht="21.75" customHeight="1">
      <c r="A3" s="1">
        <v>2</v>
      </c>
      <c r="B3" s="4">
        <v>4.9000000000000004</v>
      </c>
      <c r="C3" s="4">
        <v>3</v>
      </c>
      <c r="D3" s="4">
        <v>1.4</v>
      </c>
      <c r="E3" s="4">
        <v>0.2</v>
      </c>
      <c r="F3" s="5" t="s">
        <v>6</v>
      </c>
    </row>
    <row r="4" spans="1:6" ht="21" customHeight="1">
      <c r="A4" s="1">
        <v>3</v>
      </c>
      <c r="B4" s="2">
        <v>4.7</v>
      </c>
      <c r="C4" s="2">
        <v>3.2</v>
      </c>
      <c r="D4" s="2">
        <v>1.3</v>
      </c>
      <c r="E4" s="6">
        <v>0.2</v>
      </c>
      <c r="F4" s="2" t="s">
        <v>6</v>
      </c>
    </row>
    <row r="5" spans="1:6" ht="18.75" customHeight="1">
      <c r="A5" s="1">
        <v>4</v>
      </c>
      <c r="B5" s="2">
        <v>4.5999999999999996</v>
      </c>
      <c r="C5" s="2">
        <v>3.1</v>
      </c>
      <c r="D5" s="2">
        <v>1.5</v>
      </c>
      <c r="E5" s="2">
        <v>0.2</v>
      </c>
      <c r="F5" s="2" t="s">
        <v>6</v>
      </c>
    </row>
    <row r="6" spans="1:6" ht="19.5" customHeight="1">
      <c r="A6" s="1">
        <v>5</v>
      </c>
      <c r="B6" s="2">
        <v>5</v>
      </c>
      <c r="C6" s="2">
        <v>3.6</v>
      </c>
      <c r="D6" s="2">
        <v>1.4</v>
      </c>
      <c r="E6" s="2">
        <v>0.2</v>
      </c>
      <c r="F6" s="2" t="s">
        <v>6</v>
      </c>
    </row>
    <row r="7" spans="1:6" ht="19.5" customHeight="1">
      <c r="A7" s="1">
        <v>6</v>
      </c>
      <c r="B7" s="2">
        <v>5.4</v>
      </c>
      <c r="C7" s="2">
        <v>3.9</v>
      </c>
      <c r="D7" s="2">
        <v>1.7</v>
      </c>
      <c r="E7" s="2">
        <v>0.4</v>
      </c>
      <c r="F7" s="2" t="s">
        <v>6</v>
      </c>
    </row>
    <row r="8" spans="1:6" ht="20.25" customHeight="1">
      <c r="A8" s="1">
        <v>7</v>
      </c>
      <c r="B8" s="2">
        <v>4.5999999999999996</v>
      </c>
      <c r="C8" s="2">
        <v>3.4</v>
      </c>
      <c r="D8" s="2">
        <v>1.4</v>
      </c>
      <c r="E8" s="2">
        <v>0.3</v>
      </c>
      <c r="F8" s="2" t="s">
        <v>6</v>
      </c>
    </row>
    <row r="9" spans="1:6" ht="21" customHeight="1">
      <c r="A9" s="1">
        <v>8</v>
      </c>
      <c r="B9" s="2">
        <v>5</v>
      </c>
      <c r="C9" s="2">
        <v>3.4</v>
      </c>
      <c r="D9" s="2">
        <v>1.5</v>
      </c>
      <c r="E9" s="2">
        <v>0.2</v>
      </c>
      <c r="F9" s="2" t="s">
        <v>6</v>
      </c>
    </row>
    <row r="10" spans="1:6" ht="21" customHeight="1">
      <c r="A10" s="1">
        <v>9</v>
      </c>
      <c r="B10" s="2">
        <v>4.4000000000000004</v>
      </c>
      <c r="C10" s="2">
        <v>2.9</v>
      </c>
      <c r="D10" s="2">
        <v>1.4</v>
      </c>
      <c r="E10" s="2">
        <v>0.2</v>
      </c>
      <c r="F10" s="2" t="s">
        <v>6</v>
      </c>
    </row>
    <row r="11" spans="1:6" ht="22.5" customHeight="1">
      <c r="A11" s="1">
        <v>10</v>
      </c>
      <c r="B11" s="2">
        <v>4.9000000000000004</v>
      </c>
      <c r="C11" s="2">
        <v>3.1</v>
      </c>
      <c r="D11" s="2">
        <v>1.5</v>
      </c>
      <c r="E11" s="2">
        <v>0.1</v>
      </c>
      <c r="F11" s="2" t="s">
        <v>6</v>
      </c>
    </row>
    <row r="12" spans="1:6" ht="24.75" customHeight="1">
      <c r="A12" s="1">
        <v>11</v>
      </c>
      <c r="B12" s="2">
        <v>5.4</v>
      </c>
      <c r="C12" s="2">
        <v>3.7</v>
      </c>
      <c r="D12" s="2">
        <v>1.5</v>
      </c>
      <c r="E12" s="2">
        <v>0.2</v>
      </c>
      <c r="F12" s="2" t="s">
        <v>6</v>
      </c>
    </row>
    <row r="13" spans="1:6" ht="21.75" customHeight="1">
      <c r="A13" s="1">
        <v>12</v>
      </c>
      <c r="B13" s="2">
        <v>4.8</v>
      </c>
      <c r="C13" s="2">
        <v>3.4</v>
      </c>
      <c r="D13" s="2">
        <v>1.6</v>
      </c>
      <c r="E13" s="2">
        <v>0.2</v>
      </c>
      <c r="F13" s="2" t="s">
        <v>6</v>
      </c>
    </row>
    <row r="14" spans="1:6" ht="21.75" customHeight="1">
      <c r="A14" s="1">
        <v>13</v>
      </c>
      <c r="B14" s="2">
        <v>4.8</v>
      </c>
      <c r="C14" s="2">
        <v>3</v>
      </c>
      <c r="D14" s="2">
        <v>1.4</v>
      </c>
      <c r="E14" s="2">
        <v>0.1</v>
      </c>
      <c r="F14" s="2" t="s">
        <v>6</v>
      </c>
    </row>
    <row r="15" spans="1:6" ht="20.25" customHeight="1">
      <c r="A15" s="1">
        <v>14</v>
      </c>
      <c r="B15" s="2">
        <v>4.3</v>
      </c>
      <c r="C15" s="2">
        <v>3</v>
      </c>
      <c r="D15" s="2">
        <v>1.1000000000000001</v>
      </c>
      <c r="E15" s="2">
        <v>0.1</v>
      </c>
      <c r="F15" s="2" t="s">
        <v>6</v>
      </c>
    </row>
    <row r="16" spans="1:6" ht="19.5" customHeight="1">
      <c r="A16" s="1">
        <v>15</v>
      </c>
      <c r="B16" s="2">
        <v>5.8</v>
      </c>
      <c r="C16" s="2">
        <v>4</v>
      </c>
      <c r="D16" s="2">
        <v>1.2</v>
      </c>
      <c r="E16" s="2">
        <v>0.2</v>
      </c>
      <c r="F16" s="2" t="s">
        <v>6</v>
      </c>
    </row>
    <row r="17" spans="1:6" ht="21" customHeight="1">
      <c r="A17" s="1">
        <v>16</v>
      </c>
      <c r="B17" s="2">
        <v>5.7</v>
      </c>
      <c r="C17" s="2">
        <v>4.4000000000000004</v>
      </c>
      <c r="D17" s="2">
        <v>1.5</v>
      </c>
      <c r="E17" s="2">
        <v>0.4</v>
      </c>
      <c r="F17" s="2" t="s">
        <v>6</v>
      </c>
    </row>
    <row r="18" spans="1:6" ht="21.75" customHeight="1">
      <c r="A18" s="1">
        <v>17</v>
      </c>
      <c r="B18" s="2">
        <v>5.4</v>
      </c>
      <c r="C18" s="2">
        <v>3.9</v>
      </c>
      <c r="D18" s="2">
        <v>1.3</v>
      </c>
      <c r="E18" s="2">
        <v>0.4</v>
      </c>
      <c r="F18" s="2" t="s">
        <v>6</v>
      </c>
    </row>
    <row r="19" spans="1:6" ht="20.25" customHeight="1">
      <c r="A19" s="1">
        <v>18</v>
      </c>
      <c r="B19" s="2">
        <v>5.0999999999999996</v>
      </c>
      <c r="C19" s="2">
        <v>3.5</v>
      </c>
      <c r="D19" s="2">
        <v>1.4</v>
      </c>
      <c r="E19" s="2">
        <v>0.3</v>
      </c>
      <c r="F19" s="2" t="s">
        <v>6</v>
      </c>
    </row>
    <row r="20" spans="1:6" ht="21" customHeight="1">
      <c r="A20" s="1">
        <v>19</v>
      </c>
      <c r="B20" s="2">
        <v>5.7</v>
      </c>
      <c r="C20" s="2">
        <v>3.8</v>
      </c>
      <c r="D20" s="2">
        <v>1.7</v>
      </c>
      <c r="E20" s="2">
        <v>0.3</v>
      </c>
      <c r="F20" s="2" t="s">
        <v>6</v>
      </c>
    </row>
    <row r="21" spans="1:6" ht="21.75" customHeight="1">
      <c r="A21" s="1">
        <v>20</v>
      </c>
      <c r="B21" s="2">
        <v>5.0999999999999996</v>
      </c>
      <c r="C21" s="2">
        <v>3.8</v>
      </c>
      <c r="D21" s="2">
        <v>1.5</v>
      </c>
      <c r="E21" s="2">
        <v>0.3</v>
      </c>
      <c r="F21" s="2" t="s">
        <v>6</v>
      </c>
    </row>
    <row r="22" spans="1:6" ht="21" customHeight="1">
      <c r="A22" s="1">
        <v>21</v>
      </c>
      <c r="B22" s="2">
        <v>5.4</v>
      </c>
      <c r="C22" s="2">
        <v>3.4</v>
      </c>
      <c r="D22" s="2">
        <v>1.7</v>
      </c>
      <c r="E22" s="2">
        <v>0.2</v>
      </c>
      <c r="F22" s="2" t="s">
        <v>6</v>
      </c>
    </row>
    <row r="23" spans="1:6" ht="22.5" customHeight="1">
      <c r="A23" s="1">
        <v>22</v>
      </c>
      <c r="B23" s="2">
        <v>5.0999999999999996</v>
      </c>
      <c r="C23" s="2">
        <v>3.7</v>
      </c>
      <c r="D23" s="2">
        <v>1.5</v>
      </c>
      <c r="E23" s="2">
        <v>0.4</v>
      </c>
      <c r="F23" s="2" t="s">
        <v>6</v>
      </c>
    </row>
    <row r="24" spans="1:6" ht="21.75" customHeight="1">
      <c r="A24" s="1">
        <v>23</v>
      </c>
      <c r="B24" s="2">
        <v>4.5999999999999996</v>
      </c>
      <c r="C24" s="2">
        <v>3.6</v>
      </c>
      <c r="D24" s="2">
        <v>1</v>
      </c>
      <c r="E24" s="2">
        <v>0.2</v>
      </c>
      <c r="F24" s="2" t="s">
        <v>6</v>
      </c>
    </row>
    <row r="25" spans="1:6" ht="19.5" customHeight="1">
      <c r="A25" s="1">
        <v>24</v>
      </c>
      <c r="B25" s="2">
        <v>5.0999999999999996</v>
      </c>
      <c r="C25" s="2">
        <v>3.3</v>
      </c>
      <c r="D25" s="2">
        <v>1.7</v>
      </c>
      <c r="E25" s="2">
        <v>0.5</v>
      </c>
      <c r="F25" s="2" t="s">
        <v>6</v>
      </c>
    </row>
    <row r="26" spans="1:6" ht="21" customHeight="1">
      <c r="A26" s="1">
        <v>25</v>
      </c>
      <c r="B26" s="2">
        <v>4.8</v>
      </c>
      <c r="C26" s="2">
        <v>3.4</v>
      </c>
      <c r="D26" s="2">
        <v>1.9</v>
      </c>
      <c r="E26" s="2">
        <v>0.2</v>
      </c>
      <c r="F26" s="2" t="s">
        <v>6</v>
      </c>
    </row>
    <row r="27" spans="1:6" ht="21.75" customHeight="1">
      <c r="A27" s="1">
        <v>26</v>
      </c>
      <c r="B27" s="2">
        <v>5</v>
      </c>
      <c r="C27" s="2">
        <v>3</v>
      </c>
      <c r="D27" s="2">
        <v>1.6</v>
      </c>
      <c r="E27" s="2">
        <v>0.2</v>
      </c>
      <c r="F27" s="2" t="s">
        <v>6</v>
      </c>
    </row>
    <row r="28" spans="1:6" ht="21" customHeight="1">
      <c r="A28" s="1">
        <v>27</v>
      </c>
      <c r="B28" s="2">
        <v>5</v>
      </c>
      <c r="C28" s="2">
        <v>3.4</v>
      </c>
      <c r="D28" s="2">
        <v>1.6</v>
      </c>
      <c r="E28" s="2">
        <v>0.4</v>
      </c>
      <c r="F28" s="2" t="s">
        <v>6</v>
      </c>
    </row>
    <row r="29" spans="1:6" ht="21.75" customHeight="1">
      <c r="A29" s="1">
        <v>28</v>
      </c>
      <c r="B29" s="2">
        <v>5.2</v>
      </c>
      <c r="C29" s="2">
        <v>3.5</v>
      </c>
      <c r="D29" s="2">
        <v>1.5</v>
      </c>
      <c r="E29" s="2">
        <v>0.2</v>
      </c>
      <c r="F29" s="2" t="s">
        <v>6</v>
      </c>
    </row>
    <row r="30" spans="1:6" ht="19.5" customHeight="1">
      <c r="A30" s="1">
        <v>29</v>
      </c>
      <c r="B30" s="2">
        <v>5.2</v>
      </c>
      <c r="C30" s="2">
        <v>3.4</v>
      </c>
      <c r="D30" s="2">
        <v>1.4</v>
      </c>
      <c r="E30" s="2">
        <v>0.2</v>
      </c>
      <c r="F30" s="2" t="s">
        <v>6</v>
      </c>
    </row>
    <row r="31" spans="1:6" ht="18.75" customHeight="1">
      <c r="A31" s="1">
        <v>30</v>
      </c>
      <c r="B31" s="2">
        <v>4.7</v>
      </c>
      <c r="C31" s="2">
        <v>3.2</v>
      </c>
      <c r="D31" s="2">
        <v>1.6</v>
      </c>
      <c r="E31" s="2">
        <v>0.2</v>
      </c>
      <c r="F31" s="2" t="s">
        <v>6</v>
      </c>
    </row>
    <row r="32" spans="1:6" ht="21.75" customHeight="1">
      <c r="A32" s="1">
        <v>31</v>
      </c>
      <c r="B32" s="2">
        <v>4.8</v>
      </c>
      <c r="C32" s="2">
        <v>3.1</v>
      </c>
      <c r="D32" s="2">
        <v>1.6</v>
      </c>
      <c r="E32" s="2">
        <v>0.2</v>
      </c>
      <c r="F32" s="2" t="s">
        <v>6</v>
      </c>
    </row>
    <row r="33" spans="1:6" ht="21" customHeight="1">
      <c r="A33" s="1">
        <v>32</v>
      </c>
      <c r="B33" s="2">
        <v>5.4</v>
      </c>
      <c r="C33" s="2">
        <v>3.4</v>
      </c>
      <c r="D33" s="2">
        <v>1.5</v>
      </c>
      <c r="E33" s="2">
        <v>0.4</v>
      </c>
      <c r="F33" s="2" t="s">
        <v>6</v>
      </c>
    </row>
    <row r="34" spans="1:6" ht="20.25" customHeight="1">
      <c r="A34" s="1">
        <v>33</v>
      </c>
      <c r="B34" s="2">
        <v>5.2</v>
      </c>
      <c r="C34" s="2">
        <v>4.0999999999999996</v>
      </c>
      <c r="D34" s="2">
        <v>1.5</v>
      </c>
      <c r="E34" s="2">
        <v>0.1</v>
      </c>
      <c r="F34" s="2" t="s">
        <v>6</v>
      </c>
    </row>
    <row r="35" spans="1:6" ht="21" customHeight="1">
      <c r="A35" s="1">
        <v>34</v>
      </c>
      <c r="B35" s="2">
        <v>5.5</v>
      </c>
      <c r="C35" s="2">
        <v>4.2</v>
      </c>
      <c r="D35" s="2">
        <v>1.4</v>
      </c>
      <c r="E35" s="2">
        <v>0.2</v>
      </c>
      <c r="F35" s="2" t="s">
        <v>6</v>
      </c>
    </row>
    <row r="36" spans="1:6" ht="20.25" customHeight="1">
      <c r="A36" s="1">
        <v>35</v>
      </c>
      <c r="B36" s="2">
        <v>4.9000000000000004</v>
      </c>
      <c r="C36" s="2">
        <v>3.1</v>
      </c>
      <c r="D36" s="2">
        <v>1.5</v>
      </c>
      <c r="E36" s="2">
        <v>0.1</v>
      </c>
      <c r="F36" s="2" t="s">
        <v>6</v>
      </c>
    </row>
    <row r="37" spans="1:6" ht="19.5" customHeight="1">
      <c r="A37" s="1">
        <v>36</v>
      </c>
      <c r="B37" s="2">
        <v>5</v>
      </c>
      <c r="C37" s="2">
        <v>3.2</v>
      </c>
      <c r="D37" s="2">
        <v>1.2</v>
      </c>
      <c r="E37" s="2">
        <v>0.2</v>
      </c>
      <c r="F37" s="2" t="s">
        <v>6</v>
      </c>
    </row>
    <row r="38" spans="1:6" ht="21" customHeight="1">
      <c r="A38" s="1">
        <v>37</v>
      </c>
      <c r="B38" s="2">
        <v>5.5</v>
      </c>
      <c r="C38" s="2">
        <v>3.5</v>
      </c>
      <c r="D38" s="2">
        <v>1.3</v>
      </c>
      <c r="E38" s="2">
        <v>0.2</v>
      </c>
      <c r="F38" s="2" t="s">
        <v>6</v>
      </c>
    </row>
    <row r="39" spans="1:6" ht="20.25" customHeight="1">
      <c r="A39" s="1">
        <v>38</v>
      </c>
      <c r="B39" s="2">
        <v>4.9000000000000004</v>
      </c>
      <c r="C39" s="2">
        <v>3.1</v>
      </c>
      <c r="D39" s="2">
        <v>1.5</v>
      </c>
      <c r="E39" s="2">
        <v>0.1</v>
      </c>
      <c r="F39" s="2" t="s">
        <v>6</v>
      </c>
    </row>
    <row r="40" spans="1:6" ht="20.25" customHeight="1">
      <c r="A40" s="1">
        <v>39</v>
      </c>
      <c r="B40" s="2">
        <v>4.4000000000000004</v>
      </c>
      <c r="C40" s="2">
        <v>3</v>
      </c>
      <c r="D40" s="2">
        <v>1.3</v>
      </c>
      <c r="E40" s="2">
        <v>0.2</v>
      </c>
      <c r="F40" s="2" t="s">
        <v>6</v>
      </c>
    </row>
    <row r="41" spans="1:6" ht="21" customHeight="1">
      <c r="A41" s="1">
        <v>40</v>
      </c>
      <c r="B41" s="2">
        <v>5.0999999999999996</v>
      </c>
      <c r="C41" s="2">
        <v>3.4</v>
      </c>
      <c r="D41" s="2">
        <v>1.5</v>
      </c>
      <c r="E41" s="2">
        <v>0.2</v>
      </c>
      <c r="F41" s="2" t="s">
        <v>6</v>
      </c>
    </row>
    <row r="42" spans="1:6" ht="21" customHeight="1">
      <c r="A42" s="1">
        <v>41</v>
      </c>
      <c r="B42" s="2">
        <v>5</v>
      </c>
      <c r="C42" s="2">
        <v>3.5</v>
      </c>
      <c r="D42" s="2">
        <v>1.3</v>
      </c>
      <c r="E42" s="2">
        <v>0.3</v>
      </c>
      <c r="F42" s="2" t="s">
        <v>6</v>
      </c>
    </row>
    <row r="43" spans="1:6" ht="22.5" customHeight="1">
      <c r="A43" s="1">
        <v>42</v>
      </c>
      <c r="B43" s="2">
        <v>4.5</v>
      </c>
      <c r="C43" s="2">
        <v>2.2999999999999998</v>
      </c>
      <c r="D43" s="2">
        <v>1.3</v>
      </c>
      <c r="E43" s="2">
        <v>0.3</v>
      </c>
      <c r="F43" s="2" t="s">
        <v>6</v>
      </c>
    </row>
    <row r="44" spans="1:6" ht="21" customHeight="1">
      <c r="A44" s="1">
        <v>43</v>
      </c>
      <c r="B44" s="2">
        <v>4.4000000000000004</v>
      </c>
      <c r="C44" s="2">
        <v>3.2</v>
      </c>
      <c r="D44" s="2">
        <v>1.3</v>
      </c>
      <c r="E44" s="2">
        <v>0.2</v>
      </c>
      <c r="F44" s="2" t="s">
        <v>6</v>
      </c>
    </row>
    <row r="45" spans="1:6" ht="21.75" customHeight="1">
      <c r="A45" s="1">
        <v>44</v>
      </c>
      <c r="B45" s="2">
        <v>5</v>
      </c>
      <c r="C45" s="2">
        <v>3.5</v>
      </c>
      <c r="D45" s="2">
        <v>1.6</v>
      </c>
      <c r="E45" s="2">
        <v>0.6</v>
      </c>
      <c r="F45" s="2" t="s">
        <v>6</v>
      </c>
    </row>
    <row r="46" spans="1:6" ht="21" customHeight="1">
      <c r="A46" s="1">
        <v>45</v>
      </c>
      <c r="B46" s="2">
        <v>5.0999999999999996</v>
      </c>
      <c r="C46" s="2">
        <v>3.8</v>
      </c>
      <c r="D46" s="2">
        <v>1.9</v>
      </c>
      <c r="E46" s="2">
        <v>0.4</v>
      </c>
      <c r="F46" s="2" t="s">
        <v>6</v>
      </c>
    </row>
    <row r="47" spans="1:6" ht="19.5" customHeight="1">
      <c r="A47" s="1">
        <v>46</v>
      </c>
      <c r="B47" s="2">
        <v>4.8</v>
      </c>
      <c r="C47" s="2">
        <v>3</v>
      </c>
      <c r="D47" s="2">
        <v>1.4</v>
      </c>
      <c r="E47" s="2">
        <v>0.3</v>
      </c>
      <c r="F47" s="2" t="s">
        <v>6</v>
      </c>
    </row>
    <row r="48" spans="1:6" ht="21" customHeight="1">
      <c r="A48" s="1">
        <v>47</v>
      </c>
      <c r="B48" s="2">
        <v>5.0999999999999996</v>
      </c>
      <c r="C48" s="2">
        <v>3.8</v>
      </c>
      <c r="D48" s="2">
        <v>1.6</v>
      </c>
      <c r="E48" s="2">
        <v>0.2</v>
      </c>
      <c r="F48" s="2" t="s">
        <v>6</v>
      </c>
    </row>
    <row r="49" spans="1:6" ht="20.25" customHeight="1">
      <c r="A49" s="1">
        <v>48</v>
      </c>
      <c r="B49" s="2">
        <v>4.5999999999999996</v>
      </c>
      <c r="C49" s="2">
        <v>3.2</v>
      </c>
      <c r="D49" s="2">
        <v>1.4</v>
      </c>
      <c r="E49" s="2">
        <v>0.2</v>
      </c>
      <c r="F49" s="2" t="s">
        <v>6</v>
      </c>
    </row>
    <row r="50" spans="1:6" ht="19.5" customHeight="1">
      <c r="A50" s="1">
        <v>49</v>
      </c>
      <c r="B50" s="2">
        <v>5.3</v>
      </c>
      <c r="C50" s="2">
        <v>3.7</v>
      </c>
      <c r="D50" s="2">
        <v>1.5</v>
      </c>
      <c r="E50" s="2">
        <v>0.2</v>
      </c>
      <c r="F50" s="2" t="s">
        <v>6</v>
      </c>
    </row>
    <row r="51" spans="1:6" ht="20.25" customHeight="1">
      <c r="A51" s="1">
        <v>50</v>
      </c>
      <c r="B51" s="2">
        <v>5</v>
      </c>
      <c r="C51" s="2">
        <v>3.3</v>
      </c>
      <c r="D51" s="2">
        <v>1.4</v>
      </c>
      <c r="E51" s="2">
        <v>0.2</v>
      </c>
      <c r="F51" s="2" t="s">
        <v>6</v>
      </c>
    </row>
    <row r="52" spans="1:6" ht="19.5" customHeight="1">
      <c r="A52" s="1">
        <v>51</v>
      </c>
      <c r="B52" s="2">
        <v>7</v>
      </c>
      <c r="C52" s="2">
        <v>3.2</v>
      </c>
      <c r="D52" s="2">
        <v>4.7</v>
      </c>
      <c r="E52" s="2">
        <v>1.4</v>
      </c>
      <c r="F52" s="2" t="s">
        <v>7</v>
      </c>
    </row>
    <row r="53" spans="1:6" ht="20.25" customHeight="1">
      <c r="A53" s="1">
        <v>52</v>
      </c>
      <c r="B53" s="2">
        <v>6.4</v>
      </c>
      <c r="C53" s="2">
        <v>3.2</v>
      </c>
      <c r="D53" s="2">
        <v>4.5</v>
      </c>
      <c r="E53" s="2">
        <v>1.5</v>
      </c>
      <c r="F53" s="2" t="s">
        <v>7</v>
      </c>
    </row>
    <row r="54" spans="1:6" ht="20.25" customHeight="1">
      <c r="A54" s="1">
        <v>53</v>
      </c>
      <c r="B54" s="2">
        <v>6.9</v>
      </c>
      <c r="C54" s="2">
        <v>3.1</v>
      </c>
      <c r="D54" s="2">
        <v>4.9000000000000004</v>
      </c>
      <c r="E54" s="2">
        <v>1.5</v>
      </c>
      <c r="F54" s="2" t="s">
        <v>7</v>
      </c>
    </row>
    <row r="55" spans="1:6" ht="21" customHeight="1">
      <c r="A55" s="1">
        <v>54</v>
      </c>
      <c r="B55" s="2">
        <v>5.5</v>
      </c>
      <c r="C55" s="2">
        <v>2.2999999999999998</v>
      </c>
      <c r="D55" s="2">
        <v>4</v>
      </c>
      <c r="E55" s="2">
        <v>1.3</v>
      </c>
      <c r="F55" s="2" t="s">
        <v>7</v>
      </c>
    </row>
    <row r="56" spans="1:6" ht="21" customHeight="1">
      <c r="A56" s="1">
        <v>55</v>
      </c>
      <c r="B56" s="2">
        <v>6.5</v>
      </c>
      <c r="C56" s="2">
        <v>2.8</v>
      </c>
      <c r="D56" s="2">
        <v>4.5999999999999996</v>
      </c>
      <c r="E56" s="2">
        <v>1.5</v>
      </c>
      <c r="F56" s="2" t="s">
        <v>7</v>
      </c>
    </row>
    <row r="57" spans="1:6" ht="19.5" customHeight="1">
      <c r="A57" s="1">
        <v>56</v>
      </c>
      <c r="B57" s="2">
        <v>5.7</v>
      </c>
      <c r="C57" s="2">
        <v>2.8</v>
      </c>
      <c r="D57" s="2">
        <v>4.5</v>
      </c>
      <c r="E57" s="2">
        <v>1.3</v>
      </c>
      <c r="F57" s="2" t="s">
        <v>7</v>
      </c>
    </row>
    <row r="58" spans="1:6" ht="20.25" customHeight="1">
      <c r="A58" s="1">
        <v>57</v>
      </c>
      <c r="B58" s="2">
        <v>6.3</v>
      </c>
      <c r="C58" s="2">
        <v>3.3</v>
      </c>
      <c r="D58" s="2">
        <v>4.7</v>
      </c>
      <c r="E58" s="2">
        <v>1.6</v>
      </c>
      <c r="F58" s="2" t="s">
        <v>7</v>
      </c>
    </row>
    <row r="59" spans="1:6" ht="21" customHeight="1">
      <c r="A59" s="1">
        <v>58</v>
      </c>
      <c r="B59" s="2">
        <v>4.9000000000000004</v>
      </c>
      <c r="C59" s="2">
        <v>2.4</v>
      </c>
      <c r="D59" s="2">
        <v>3.3</v>
      </c>
      <c r="E59" s="2">
        <v>1</v>
      </c>
      <c r="F59" s="2" t="s">
        <v>7</v>
      </c>
    </row>
    <row r="60" spans="1:6" ht="21" customHeight="1">
      <c r="A60" s="1">
        <v>59</v>
      </c>
      <c r="B60" s="2">
        <v>6.6</v>
      </c>
      <c r="C60" s="2">
        <v>2.9</v>
      </c>
      <c r="D60" s="2">
        <v>4.5999999999999996</v>
      </c>
      <c r="E60" s="2">
        <v>1.3</v>
      </c>
      <c r="F60" s="2" t="s">
        <v>7</v>
      </c>
    </row>
    <row r="61" spans="1:6" ht="21" customHeight="1">
      <c r="A61" s="1">
        <v>60</v>
      </c>
      <c r="B61" s="2">
        <v>5.2</v>
      </c>
      <c r="C61" s="2">
        <v>2.7</v>
      </c>
      <c r="D61" s="2">
        <v>3.9</v>
      </c>
      <c r="E61" s="2">
        <v>1.4</v>
      </c>
      <c r="F61" s="2" t="s">
        <v>7</v>
      </c>
    </row>
    <row r="62" spans="1:6" ht="21" customHeight="1">
      <c r="A62" s="1">
        <v>61</v>
      </c>
      <c r="B62" s="2">
        <v>5</v>
      </c>
      <c r="C62" s="2">
        <v>2</v>
      </c>
      <c r="D62" s="2">
        <v>3.5</v>
      </c>
      <c r="E62" s="2">
        <v>1</v>
      </c>
      <c r="F62" s="2" t="s">
        <v>7</v>
      </c>
    </row>
    <row r="63" spans="1:6" ht="21" customHeight="1">
      <c r="A63" s="1">
        <v>62</v>
      </c>
      <c r="B63" s="2">
        <v>5.9</v>
      </c>
      <c r="C63" s="2">
        <v>3</v>
      </c>
      <c r="D63" s="2">
        <v>4.2</v>
      </c>
      <c r="E63" s="2">
        <v>1.5</v>
      </c>
      <c r="F63" s="2" t="s">
        <v>7</v>
      </c>
    </row>
    <row r="64" spans="1:6" ht="20.25" customHeight="1">
      <c r="A64" s="1">
        <v>63</v>
      </c>
      <c r="B64" s="2">
        <v>6</v>
      </c>
      <c r="C64" s="2">
        <v>2.2000000000000002</v>
      </c>
      <c r="D64" s="2">
        <v>4</v>
      </c>
      <c r="E64" s="2">
        <v>1</v>
      </c>
      <c r="F64" s="2" t="s">
        <v>7</v>
      </c>
    </row>
    <row r="65" spans="1:6" ht="20.25" customHeight="1">
      <c r="A65" s="1">
        <v>64</v>
      </c>
      <c r="B65" s="2">
        <v>6.1</v>
      </c>
      <c r="C65" s="2">
        <v>2.9</v>
      </c>
      <c r="D65" s="2">
        <v>4.7</v>
      </c>
      <c r="E65" s="2">
        <v>1.4</v>
      </c>
      <c r="F65" s="2" t="s">
        <v>7</v>
      </c>
    </row>
    <row r="66" spans="1:6" ht="19.5" customHeight="1">
      <c r="A66" s="1">
        <v>65</v>
      </c>
      <c r="B66" s="2">
        <v>5.6</v>
      </c>
      <c r="C66" s="2">
        <v>2.9</v>
      </c>
      <c r="D66" s="2">
        <v>3.6</v>
      </c>
      <c r="E66" s="2">
        <v>1.3</v>
      </c>
      <c r="F66" s="2" t="s">
        <v>7</v>
      </c>
    </row>
    <row r="67" spans="1:6" ht="20.25" customHeight="1">
      <c r="A67" s="1">
        <v>66</v>
      </c>
      <c r="B67" s="2">
        <v>6.7</v>
      </c>
      <c r="C67" s="2">
        <v>3.1</v>
      </c>
      <c r="D67" s="2">
        <v>4.4000000000000004</v>
      </c>
      <c r="E67" s="2">
        <v>1.4</v>
      </c>
      <c r="F67" s="2" t="s">
        <v>7</v>
      </c>
    </row>
    <row r="68" spans="1:6" ht="20.25" customHeight="1">
      <c r="A68" s="1">
        <v>67</v>
      </c>
      <c r="B68" s="2">
        <v>5.6</v>
      </c>
      <c r="C68" s="2">
        <v>3</v>
      </c>
      <c r="D68" s="2">
        <v>4.5</v>
      </c>
      <c r="E68" s="2">
        <v>1.5</v>
      </c>
      <c r="F68" s="2" t="s">
        <v>7</v>
      </c>
    </row>
    <row r="69" spans="1:6" ht="20.25" customHeight="1">
      <c r="A69" s="1">
        <v>68</v>
      </c>
      <c r="B69" s="2">
        <v>5.8</v>
      </c>
      <c r="C69" s="2">
        <v>2.7</v>
      </c>
      <c r="D69" s="2">
        <v>4.0999999999999996</v>
      </c>
      <c r="E69" s="2">
        <v>1</v>
      </c>
      <c r="F69" s="2" t="s">
        <v>7</v>
      </c>
    </row>
    <row r="70" spans="1:6" ht="20.25" customHeight="1">
      <c r="A70" s="1">
        <v>69</v>
      </c>
      <c r="B70" s="2">
        <v>6.2</v>
      </c>
      <c r="C70" s="2">
        <v>2.2000000000000002</v>
      </c>
      <c r="D70" s="2">
        <v>4.5</v>
      </c>
      <c r="E70" s="2">
        <v>1.5</v>
      </c>
      <c r="F70" s="2" t="s">
        <v>7</v>
      </c>
    </row>
    <row r="71" spans="1:6" ht="21" customHeight="1">
      <c r="A71" s="1">
        <v>70</v>
      </c>
      <c r="B71" s="2">
        <v>5.6</v>
      </c>
      <c r="C71" s="2">
        <v>2.5</v>
      </c>
      <c r="D71" s="2">
        <v>3.9</v>
      </c>
      <c r="E71" s="2">
        <v>1.1000000000000001</v>
      </c>
      <c r="F71" s="2" t="s">
        <v>7</v>
      </c>
    </row>
    <row r="72" spans="1:6" ht="20.25" customHeight="1">
      <c r="A72" s="1">
        <v>71</v>
      </c>
      <c r="B72" s="2">
        <v>5.9</v>
      </c>
      <c r="C72" s="2">
        <v>3.2</v>
      </c>
      <c r="D72" s="2">
        <v>4.8</v>
      </c>
      <c r="E72" s="2">
        <v>1.8</v>
      </c>
      <c r="F72" s="2" t="s">
        <v>7</v>
      </c>
    </row>
    <row r="73" spans="1:6" ht="20.25" customHeight="1">
      <c r="A73" s="1">
        <v>72</v>
      </c>
      <c r="B73" s="2">
        <v>6.1</v>
      </c>
      <c r="C73" s="2">
        <v>2.8</v>
      </c>
      <c r="D73" s="2">
        <v>4</v>
      </c>
      <c r="E73" s="2">
        <v>1.3</v>
      </c>
      <c r="F73" s="2" t="s">
        <v>7</v>
      </c>
    </row>
    <row r="74" spans="1:6" ht="19.5" customHeight="1">
      <c r="A74" s="1">
        <v>73</v>
      </c>
      <c r="B74" s="2">
        <v>6.3</v>
      </c>
      <c r="C74" s="2">
        <v>2.5</v>
      </c>
      <c r="D74" s="2">
        <v>4.9000000000000004</v>
      </c>
      <c r="E74" s="2">
        <v>1.5</v>
      </c>
      <c r="F74" s="2" t="s">
        <v>7</v>
      </c>
    </row>
    <row r="75" spans="1:6" ht="19.5" customHeight="1">
      <c r="A75" s="1">
        <v>74</v>
      </c>
      <c r="B75" s="2">
        <v>6.1</v>
      </c>
      <c r="C75" s="2">
        <v>2.8</v>
      </c>
      <c r="D75" s="2">
        <v>4.7</v>
      </c>
      <c r="E75" s="2">
        <v>1.2</v>
      </c>
      <c r="F75" s="2" t="s">
        <v>7</v>
      </c>
    </row>
    <row r="76" spans="1:6" ht="18" customHeight="1">
      <c r="A76" s="1">
        <v>75</v>
      </c>
      <c r="B76" s="2">
        <v>6.4</v>
      </c>
      <c r="C76" s="2">
        <v>2.9</v>
      </c>
      <c r="D76" s="2">
        <v>4.3</v>
      </c>
      <c r="E76" s="2">
        <v>1.3</v>
      </c>
      <c r="F76" s="2" t="s">
        <v>7</v>
      </c>
    </row>
    <row r="77" spans="1:6" ht="19.5" customHeight="1">
      <c r="A77" s="1">
        <v>76</v>
      </c>
      <c r="B77" s="2">
        <v>6.6</v>
      </c>
      <c r="C77" s="2">
        <v>3</v>
      </c>
      <c r="D77" s="2">
        <v>4.4000000000000004</v>
      </c>
      <c r="E77" s="2">
        <v>1.4</v>
      </c>
      <c r="F77" s="2" t="s">
        <v>7</v>
      </c>
    </row>
    <row r="78" spans="1:6" ht="19.5" customHeight="1">
      <c r="A78" s="1">
        <v>77</v>
      </c>
      <c r="B78" s="2">
        <v>6.8</v>
      </c>
      <c r="C78" s="2">
        <v>2.8</v>
      </c>
      <c r="D78" s="2">
        <v>4.8</v>
      </c>
      <c r="E78" s="2">
        <v>1.4</v>
      </c>
      <c r="F78" s="2" t="s">
        <v>7</v>
      </c>
    </row>
    <row r="79" spans="1:6" ht="19.5" customHeight="1">
      <c r="A79" s="1">
        <v>78</v>
      </c>
      <c r="B79" s="2">
        <v>6.7</v>
      </c>
      <c r="C79" s="2">
        <v>3</v>
      </c>
      <c r="D79" s="2">
        <v>5</v>
      </c>
      <c r="E79" s="2">
        <v>1.7</v>
      </c>
      <c r="F79" s="2" t="s">
        <v>7</v>
      </c>
    </row>
    <row r="80" spans="1:6" ht="19.5" customHeight="1">
      <c r="A80" s="1">
        <v>79</v>
      </c>
      <c r="B80" s="2">
        <v>6</v>
      </c>
      <c r="C80" s="2">
        <v>2.9</v>
      </c>
      <c r="D80" s="2">
        <v>4.5</v>
      </c>
      <c r="E80" s="2">
        <v>1.5</v>
      </c>
      <c r="F80" s="2" t="s">
        <v>7</v>
      </c>
    </row>
    <row r="81" spans="1:6" ht="19.5" customHeight="1">
      <c r="A81" s="1">
        <v>80</v>
      </c>
      <c r="B81" s="2">
        <v>5.7</v>
      </c>
      <c r="C81" s="2">
        <v>2.6</v>
      </c>
      <c r="D81" s="2">
        <v>3.5</v>
      </c>
      <c r="E81" s="2">
        <v>1</v>
      </c>
      <c r="F81" s="2" t="s">
        <v>7</v>
      </c>
    </row>
    <row r="82" spans="1:6" ht="19.5" customHeight="1">
      <c r="A82" s="1">
        <v>81</v>
      </c>
      <c r="B82" s="2">
        <v>5.5</v>
      </c>
      <c r="C82" s="2">
        <v>2.4</v>
      </c>
      <c r="D82" s="2">
        <v>3.8</v>
      </c>
      <c r="E82" s="2">
        <v>1.1000000000000001</v>
      </c>
      <c r="F82" s="2" t="s">
        <v>7</v>
      </c>
    </row>
    <row r="83" spans="1:6" ht="20.25" customHeight="1">
      <c r="A83" s="1">
        <v>82</v>
      </c>
      <c r="B83" s="2">
        <v>5.5</v>
      </c>
      <c r="C83" s="2">
        <v>2.4</v>
      </c>
      <c r="D83" s="2">
        <v>3.7</v>
      </c>
      <c r="E83" s="2">
        <v>1</v>
      </c>
      <c r="F83" s="2" t="s">
        <v>7</v>
      </c>
    </row>
    <row r="84" spans="1:6" ht="20.25" customHeight="1">
      <c r="A84" s="1">
        <v>83</v>
      </c>
      <c r="B84" s="2">
        <v>5.8</v>
      </c>
      <c r="C84" s="2">
        <v>2.7</v>
      </c>
      <c r="D84" s="2">
        <v>3.9</v>
      </c>
      <c r="E84" s="2">
        <v>1.2</v>
      </c>
      <c r="F84" s="2" t="s">
        <v>7</v>
      </c>
    </row>
    <row r="85" spans="1:6" ht="19.5" customHeight="1">
      <c r="A85" s="1">
        <v>84</v>
      </c>
      <c r="B85" s="2">
        <v>6</v>
      </c>
      <c r="C85" s="2">
        <v>2.7</v>
      </c>
      <c r="D85" s="2">
        <v>5.0999999999999996</v>
      </c>
      <c r="E85" s="2">
        <v>1.6</v>
      </c>
      <c r="F85" s="2" t="s">
        <v>7</v>
      </c>
    </row>
    <row r="86" spans="1:6" ht="20.25" customHeight="1">
      <c r="A86" s="1">
        <v>85</v>
      </c>
      <c r="B86" s="2">
        <v>5.4</v>
      </c>
      <c r="C86" s="2">
        <v>3</v>
      </c>
      <c r="D86" s="2">
        <v>4.5</v>
      </c>
      <c r="E86" s="2">
        <v>1.5</v>
      </c>
      <c r="F86" s="2" t="s">
        <v>7</v>
      </c>
    </row>
    <row r="87" spans="1:6" ht="19.5" customHeight="1">
      <c r="A87" s="1">
        <v>86</v>
      </c>
      <c r="B87" s="2">
        <v>6</v>
      </c>
      <c r="C87" s="2">
        <v>3.4</v>
      </c>
      <c r="D87" s="2">
        <v>4.5</v>
      </c>
      <c r="E87" s="2">
        <v>1.6</v>
      </c>
      <c r="F87" s="2" t="s">
        <v>7</v>
      </c>
    </row>
    <row r="88" spans="1:6" ht="19.5" customHeight="1">
      <c r="A88" s="1">
        <v>87</v>
      </c>
      <c r="B88" s="2">
        <v>6.7</v>
      </c>
      <c r="C88" s="2">
        <v>3.1</v>
      </c>
      <c r="D88" s="2">
        <v>4.7</v>
      </c>
      <c r="E88" s="2">
        <v>1.5</v>
      </c>
      <c r="F88" s="2" t="s">
        <v>7</v>
      </c>
    </row>
    <row r="89" spans="1:6" ht="20.25" customHeight="1">
      <c r="A89" s="1">
        <v>88</v>
      </c>
      <c r="B89" s="2">
        <v>6.3</v>
      </c>
      <c r="C89" s="2">
        <v>2.2999999999999998</v>
      </c>
      <c r="D89" s="2">
        <v>4.4000000000000004</v>
      </c>
      <c r="E89" s="2">
        <v>1.3</v>
      </c>
      <c r="F89" s="2" t="s">
        <v>7</v>
      </c>
    </row>
    <row r="90" spans="1:6" ht="19.5" customHeight="1">
      <c r="A90" s="1">
        <v>89</v>
      </c>
      <c r="B90" s="2">
        <v>5.6</v>
      </c>
      <c r="C90" s="2">
        <v>3</v>
      </c>
      <c r="D90" s="2">
        <v>4.0999999999999996</v>
      </c>
      <c r="E90" s="2">
        <v>1.3</v>
      </c>
      <c r="F90" s="2" t="s">
        <v>7</v>
      </c>
    </row>
    <row r="91" spans="1:6" ht="19.5" customHeight="1">
      <c r="A91" s="1">
        <v>90</v>
      </c>
      <c r="B91" s="2">
        <v>5.5</v>
      </c>
      <c r="C91" s="2">
        <v>2.5</v>
      </c>
      <c r="D91" s="2">
        <v>4</v>
      </c>
      <c r="E91" s="2">
        <v>1.3</v>
      </c>
      <c r="F91" s="2" t="s">
        <v>7</v>
      </c>
    </row>
    <row r="92" spans="1:6" ht="21.75" customHeight="1">
      <c r="A92" s="1">
        <v>91</v>
      </c>
      <c r="B92" s="2">
        <v>5.5</v>
      </c>
      <c r="C92" s="2">
        <v>2.6</v>
      </c>
      <c r="D92" s="2">
        <v>4.4000000000000004</v>
      </c>
      <c r="E92" s="2">
        <v>1.2</v>
      </c>
      <c r="F92" s="2" t="s">
        <v>7</v>
      </c>
    </row>
    <row r="93" spans="1:6" ht="18.75" customHeight="1">
      <c r="A93" s="1">
        <v>92</v>
      </c>
      <c r="B93" s="2">
        <v>6.1</v>
      </c>
      <c r="C93" s="2">
        <v>3</v>
      </c>
      <c r="D93" s="2">
        <v>4.5999999999999996</v>
      </c>
      <c r="E93" s="2">
        <v>1.4</v>
      </c>
      <c r="F93" s="2" t="s">
        <v>7</v>
      </c>
    </row>
    <row r="94" spans="1:6" ht="20.25" customHeight="1">
      <c r="A94" s="1">
        <v>93</v>
      </c>
      <c r="B94" s="2">
        <v>5.8</v>
      </c>
      <c r="C94" s="2">
        <v>2.6</v>
      </c>
      <c r="D94" s="2">
        <v>4</v>
      </c>
      <c r="E94" s="2">
        <v>1.2</v>
      </c>
      <c r="F94" s="2" t="s">
        <v>7</v>
      </c>
    </row>
    <row r="95" spans="1:6" ht="20.25" customHeight="1">
      <c r="A95" s="1">
        <v>94</v>
      </c>
      <c r="B95" s="2">
        <v>5</v>
      </c>
      <c r="C95" s="2">
        <v>2.2999999999999998</v>
      </c>
      <c r="D95" s="2">
        <v>3.3</v>
      </c>
      <c r="E95" s="2">
        <v>1</v>
      </c>
      <c r="F95" s="2" t="s">
        <v>7</v>
      </c>
    </row>
    <row r="96" spans="1:6" ht="19.5" customHeight="1">
      <c r="A96" s="1">
        <v>95</v>
      </c>
      <c r="B96" s="2">
        <v>5.6</v>
      </c>
      <c r="C96" s="2">
        <v>2.7</v>
      </c>
      <c r="D96" s="2">
        <v>4.2</v>
      </c>
      <c r="E96" s="2">
        <v>1.3</v>
      </c>
      <c r="F96" s="2" t="s">
        <v>7</v>
      </c>
    </row>
    <row r="97" spans="1:6" ht="20.25" customHeight="1">
      <c r="A97" s="1">
        <v>96</v>
      </c>
      <c r="B97" s="2">
        <v>5.7</v>
      </c>
      <c r="C97" s="2">
        <v>3</v>
      </c>
      <c r="D97" s="2">
        <v>4.2</v>
      </c>
      <c r="E97" s="2">
        <v>1.2</v>
      </c>
      <c r="F97" s="2" t="s">
        <v>7</v>
      </c>
    </row>
    <row r="98" spans="1:6" ht="21" customHeight="1">
      <c r="A98" s="1">
        <v>97</v>
      </c>
      <c r="B98" s="2">
        <v>5.7</v>
      </c>
      <c r="C98" s="2">
        <v>2.9</v>
      </c>
      <c r="D98" s="2">
        <v>4.2</v>
      </c>
      <c r="E98" s="2">
        <v>1.3</v>
      </c>
      <c r="F98" s="2" t="s">
        <v>7</v>
      </c>
    </row>
    <row r="99" spans="1:6" ht="19.5" customHeight="1">
      <c r="A99" s="1">
        <v>98</v>
      </c>
      <c r="B99" s="2">
        <v>6.2</v>
      </c>
      <c r="C99" s="2">
        <v>2.9</v>
      </c>
      <c r="D99" s="2">
        <v>4.3</v>
      </c>
      <c r="E99" s="2">
        <v>1.3</v>
      </c>
      <c r="F99" s="2" t="s">
        <v>7</v>
      </c>
    </row>
    <row r="100" spans="1:6" ht="20.25" customHeight="1">
      <c r="A100" s="1">
        <v>99</v>
      </c>
      <c r="B100" s="2">
        <v>5.0999999999999996</v>
      </c>
      <c r="C100" s="2">
        <v>2.5</v>
      </c>
      <c r="D100" s="2">
        <v>3</v>
      </c>
      <c r="E100" s="2">
        <v>1.1000000000000001</v>
      </c>
      <c r="F100" s="2" t="s">
        <v>7</v>
      </c>
    </row>
    <row r="101" spans="1:6" ht="20.25" customHeight="1">
      <c r="A101" s="1">
        <v>100</v>
      </c>
      <c r="B101" s="2">
        <v>5.7</v>
      </c>
      <c r="C101" s="2">
        <v>2.8</v>
      </c>
      <c r="D101" s="2">
        <v>4.0999999999999996</v>
      </c>
      <c r="E101" s="2">
        <v>1.3</v>
      </c>
      <c r="F101" s="2" t="s">
        <v>7</v>
      </c>
    </row>
    <row r="102" spans="1:6" ht="19.5" customHeight="1">
      <c r="A102" s="1">
        <v>101</v>
      </c>
      <c r="B102" s="2">
        <v>6.3</v>
      </c>
      <c r="C102" s="2">
        <v>3.3</v>
      </c>
      <c r="D102" s="2">
        <v>6</v>
      </c>
      <c r="E102" s="2">
        <v>2.5</v>
      </c>
      <c r="F102" s="2" t="s">
        <v>8</v>
      </c>
    </row>
    <row r="103" spans="1:6" ht="19.5" customHeight="1">
      <c r="A103" s="1">
        <v>102</v>
      </c>
      <c r="B103" s="2">
        <v>5.8</v>
      </c>
      <c r="C103" s="2">
        <v>2.7</v>
      </c>
      <c r="D103" s="2">
        <v>5.0999999999999996</v>
      </c>
      <c r="E103" s="2">
        <v>1.9</v>
      </c>
      <c r="F103" s="2" t="s">
        <v>8</v>
      </c>
    </row>
    <row r="104" spans="1:6" ht="21" customHeight="1">
      <c r="A104" s="1">
        <v>103</v>
      </c>
      <c r="B104" s="2">
        <v>7.1</v>
      </c>
      <c r="C104" s="2">
        <v>3</v>
      </c>
      <c r="D104" s="2">
        <v>5.9</v>
      </c>
      <c r="E104" s="2">
        <v>2.1</v>
      </c>
      <c r="F104" s="2" t="s">
        <v>8</v>
      </c>
    </row>
    <row r="105" spans="1:6" ht="20.25" customHeight="1">
      <c r="A105" s="1">
        <v>104</v>
      </c>
      <c r="B105" s="2">
        <v>6.3</v>
      </c>
      <c r="C105" s="2">
        <v>2.9</v>
      </c>
      <c r="D105" s="2">
        <v>5.6</v>
      </c>
      <c r="E105" s="2">
        <v>1.8</v>
      </c>
      <c r="F105" s="2" t="s">
        <v>8</v>
      </c>
    </row>
    <row r="106" spans="1:6" ht="21.75" customHeight="1">
      <c r="A106" s="1">
        <v>105</v>
      </c>
      <c r="B106" s="2">
        <v>6.5</v>
      </c>
      <c r="C106" s="2">
        <v>3</v>
      </c>
      <c r="D106" s="2">
        <v>5.8</v>
      </c>
      <c r="E106" s="2">
        <v>2.2000000000000002</v>
      </c>
      <c r="F106" s="2" t="s">
        <v>8</v>
      </c>
    </row>
    <row r="107" spans="1:6" ht="21" customHeight="1">
      <c r="A107" s="1">
        <v>106</v>
      </c>
      <c r="B107" s="2">
        <v>7.6</v>
      </c>
      <c r="C107" s="2">
        <v>3</v>
      </c>
      <c r="D107" s="2">
        <v>6.6</v>
      </c>
      <c r="E107" s="2">
        <v>2.1</v>
      </c>
      <c r="F107" s="2" t="s">
        <v>8</v>
      </c>
    </row>
    <row r="108" spans="1:6" ht="20.25" customHeight="1">
      <c r="A108" s="1">
        <v>107</v>
      </c>
      <c r="B108" s="2">
        <v>4.9000000000000004</v>
      </c>
      <c r="C108" s="2">
        <v>2.5</v>
      </c>
      <c r="D108" s="2">
        <v>4.5</v>
      </c>
      <c r="E108" s="2">
        <v>1.7</v>
      </c>
      <c r="F108" s="2" t="s">
        <v>8</v>
      </c>
    </row>
    <row r="109" spans="1:6" ht="20.25" customHeight="1">
      <c r="A109" s="1">
        <v>108</v>
      </c>
      <c r="B109" s="2">
        <v>7.3</v>
      </c>
      <c r="C109" s="2">
        <v>2.9</v>
      </c>
      <c r="D109" s="2">
        <v>6.3</v>
      </c>
      <c r="E109" s="2">
        <v>1.8</v>
      </c>
      <c r="F109" s="2" t="s">
        <v>8</v>
      </c>
    </row>
    <row r="110" spans="1:6" ht="21" customHeight="1">
      <c r="A110" s="1">
        <v>109</v>
      </c>
      <c r="B110" s="2">
        <v>6.7</v>
      </c>
      <c r="C110" s="2">
        <v>2.5</v>
      </c>
      <c r="D110" s="2">
        <v>5.8</v>
      </c>
      <c r="E110" s="2">
        <v>1.8</v>
      </c>
      <c r="F110" s="2" t="s">
        <v>8</v>
      </c>
    </row>
    <row r="111" spans="1:6" ht="20.25" customHeight="1">
      <c r="A111" s="1">
        <v>110</v>
      </c>
      <c r="B111" s="2">
        <v>7.2</v>
      </c>
      <c r="C111" s="2">
        <v>3.6</v>
      </c>
      <c r="D111" s="2">
        <v>6.1</v>
      </c>
      <c r="E111" s="2">
        <v>2.5</v>
      </c>
      <c r="F111" s="2" t="s">
        <v>8</v>
      </c>
    </row>
    <row r="112" spans="1:6" ht="20.25" customHeight="1">
      <c r="A112" s="1">
        <v>111</v>
      </c>
      <c r="B112" s="2">
        <v>6.5</v>
      </c>
      <c r="C112" s="2">
        <v>3.2</v>
      </c>
      <c r="D112" s="2">
        <v>5.0999999999999996</v>
      </c>
      <c r="E112" s="2">
        <v>2</v>
      </c>
      <c r="F112" s="2" t="s">
        <v>8</v>
      </c>
    </row>
    <row r="113" spans="1:6" ht="20.25" customHeight="1">
      <c r="A113" s="1">
        <v>112</v>
      </c>
      <c r="B113" s="2">
        <v>6.4</v>
      </c>
      <c r="C113" s="2">
        <v>2.7</v>
      </c>
      <c r="D113" s="2">
        <v>5.3</v>
      </c>
      <c r="E113" s="2">
        <v>1.9</v>
      </c>
      <c r="F113" s="2" t="s">
        <v>8</v>
      </c>
    </row>
    <row r="114" spans="1:6" ht="21.75" customHeight="1">
      <c r="A114" s="1">
        <v>113</v>
      </c>
      <c r="B114" s="2">
        <v>6.8</v>
      </c>
      <c r="C114" s="2">
        <v>3</v>
      </c>
      <c r="D114" s="2">
        <v>5.5</v>
      </c>
      <c r="E114" s="2">
        <v>2.1</v>
      </c>
      <c r="F114" s="2" t="s">
        <v>8</v>
      </c>
    </row>
    <row r="115" spans="1:6" ht="22.5" customHeight="1">
      <c r="A115" s="1">
        <v>114</v>
      </c>
      <c r="B115" s="2">
        <v>5.7</v>
      </c>
      <c r="C115" s="2">
        <v>2.5</v>
      </c>
      <c r="D115" s="2">
        <v>5</v>
      </c>
      <c r="E115" s="2">
        <v>2</v>
      </c>
      <c r="F115" s="2" t="s">
        <v>8</v>
      </c>
    </row>
    <row r="116" spans="1:6" ht="21.75" customHeight="1">
      <c r="A116" s="1">
        <v>115</v>
      </c>
      <c r="B116" s="2">
        <v>5.8</v>
      </c>
      <c r="C116" s="2">
        <v>2.8</v>
      </c>
      <c r="D116" s="2">
        <v>5.0999999999999996</v>
      </c>
      <c r="E116" s="2">
        <v>2.4</v>
      </c>
      <c r="F116" s="2" t="s">
        <v>8</v>
      </c>
    </row>
    <row r="117" spans="1:6" ht="21" customHeight="1">
      <c r="A117" s="1">
        <v>116</v>
      </c>
      <c r="B117" s="2">
        <v>6.4</v>
      </c>
      <c r="C117" s="2">
        <v>3.2</v>
      </c>
      <c r="D117" s="2">
        <v>5.3</v>
      </c>
      <c r="E117" s="2">
        <v>2.2999999999999998</v>
      </c>
      <c r="F117" s="2" t="s">
        <v>8</v>
      </c>
    </row>
    <row r="118" spans="1:6" ht="20.25" customHeight="1">
      <c r="A118" s="1">
        <v>117</v>
      </c>
      <c r="B118" s="2">
        <v>6.5</v>
      </c>
      <c r="C118" s="2">
        <v>3</v>
      </c>
      <c r="D118" s="2">
        <v>5.5</v>
      </c>
      <c r="E118" s="2">
        <v>1.8</v>
      </c>
      <c r="F118" s="2" t="s">
        <v>8</v>
      </c>
    </row>
    <row r="119" spans="1:6" ht="20.25" customHeight="1">
      <c r="A119" s="1">
        <v>118</v>
      </c>
      <c r="B119" s="2">
        <v>7.7</v>
      </c>
      <c r="C119" s="2">
        <v>3.8</v>
      </c>
      <c r="D119" s="2">
        <v>6.7</v>
      </c>
      <c r="E119" s="2">
        <v>2.2000000000000002</v>
      </c>
      <c r="F119" s="2" t="s">
        <v>8</v>
      </c>
    </row>
    <row r="120" spans="1:6" ht="20.25" customHeight="1">
      <c r="A120" s="1">
        <v>119</v>
      </c>
      <c r="B120" s="2">
        <v>7.7</v>
      </c>
      <c r="C120" s="2">
        <v>2.6</v>
      </c>
      <c r="D120" s="2">
        <v>6.9</v>
      </c>
      <c r="E120" s="2">
        <v>2.2999999999999998</v>
      </c>
      <c r="F120" s="2" t="s">
        <v>8</v>
      </c>
    </row>
    <row r="121" spans="1:6" ht="20.25" customHeight="1">
      <c r="A121" s="1">
        <v>120</v>
      </c>
      <c r="B121" s="2">
        <v>6</v>
      </c>
      <c r="C121" s="2">
        <v>2.2000000000000002</v>
      </c>
      <c r="D121" s="2">
        <v>5</v>
      </c>
      <c r="E121" s="2">
        <v>1.5</v>
      </c>
      <c r="F121" s="2" t="s">
        <v>8</v>
      </c>
    </row>
    <row r="122" spans="1:6" ht="21" customHeight="1">
      <c r="A122" s="1">
        <v>121</v>
      </c>
      <c r="B122" s="2">
        <v>6.9</v>
      </c>
      <c r="C122" s="2">
        <v>3.2</v>
      </c>
      <c r="D122" s="2">
        <v>5.7</v>
      </c>
      <c r="E122" s="2">
        <v>2.2999999999999998</v>
      </c>
      <c r="F122" s="2" t="s">
        <v>8</v>
      </c>
    </row>
    <row r="123" spans="1:6" ht="18.75" customHeight="1">
      <c r="A123" s="1">
        <v>122</v>
      </c>
      <c r="B123" s="2">
        <v>5.6</v>
      </c>
      <c r="C123" s="2">
        <v>2.8</v>
      </c>
      <c r="D123" s="2">
        <v>4.9000000000000004</v>
      </c>
      <c r="E123" s="2">
        <v>2</v>
      </c>
      <c r="F123" s="2" t="s">
        <v>8</v>
      </c>
    </row>
    <row r="124" spans="1:6" ht="19.5" customHeight="1">
      <c r="A124" s="1">
        <v>123</v>
      </c>
      <c r="B124" s="2">
        <v>7.7</v>
      </c>
      <c r="C124" s="2">
        <v>2.8</v>
      </c>
      <c r="D124" s="2">
        <v>6.7</v>
      </c>
      <c r="E124" s="2">
        <v>2</v>
      </c>
      <c r="F124" s="2" t="s">
        <v>8</v>
      </c>
    </row>
    <row r="125" spans="1:6" ht="20.25" customHeight="1">
      <c r="A125" s="1">
        <v>124</v>
      </c>
      <c r="B125" s="2">
        <v>6.3</v>
      </c>
      <c r="C125" s="2">
        <v>2.7</v>
      </c>
      <c r="D125" s="2">
        <v>4.9000000000000004</v>
      </c>
      <c r="E125" s="2">
        <v>1.8</v>
      </c>
      <c r="F125" s="2" t="s">
        <v>8</v>
      </c>
    </row>
    <row r="126" spans="1:6" ht="18.75" customHeight="1">
      <c r="A126" s="1">
        <v>125</v>
      </c>
      <c r="B126" s="2">
        <v>6.7</v>
      </c>
      <c r="C126" s="2">
        <v>3.3</v>
      </c>
      <c r="D126" s="2">
        <v>5.7</v>
      </c>
      <c r="E126" s="2">
        <v>2.1</v>
      </c>
      <c r="F126" s="2" t="s">
        <v>8</v>
      </c>
    </row>
    <row r="127" spans="1:6" ht="19.5" customHeight="1">
      <c r="A127" s="1">
        <v>126</v>
      </c>
      <c r="B127" s="2">
        <v>7.2</v>
      </c>
      <c r="C127" s="2">
        <v>3.2</v>
      </c>
      <c r="D127" s="2">
        <v>6</v>
      </c>
      <c r="E127" s="2">
        <v>1.8</v>
      </c>
      <c r="F127" s="2" t="s">
        <v>8</v>
      </c>
    </row>
    <row r="128" spans="1:6" ht="21.75" customHeight="1">
      <c r="A128" s="1">
        <v>127</v>
      </c>
      <c r="B128" s="2">
        <v>6.2</v>
      </c>
      <c r="C128" s="2">
        <v>2.8</v>
      </c>
      <c r="D128" s="2">
        <v>4.8</v>
      </c>
      <c r="E128" s="2">
        <v>1.8</v>
      </c>
      <c r="F128" s="2" t="s">
        <v>8</v>
      </c>
    </row>
    <row r="129" spans="1:6" ht="18.75" customHeight="1">
      <c r="A129" s="1">
        <v>128</v>
      </c>
      <c r="B129" s="2">
        <v>6.1</v>
      </c>
      <c r="C129" s="2">
        <v>3</v>
      </c>
      <c r="D129" s="2">
        <v>4.9000000000000004</v>
      </c>
      <c r="E129" s="2">
        <v>1.8</v>
      </c>
      <c r="F129" s="2" t="s">
        <v>8</v>
      </c>
    </row>
    <row r="130" spans="1:6" ht="19.5" customHeight="1">
      <c r="A130" s="1">
        <v>129</v>
      </c>
      <c r="B130" s="2">
        <v>6.4</v>
      </c>
      <c r="C130" s="2">
        <v>2.8</v>
      </c>
      <c r="D130" s="2">
        <v>5.6</v>
      </c>
      <c r="E130" s="2">
        <v>2.1</v>
      </c>
      <c r="F130" s="2" t="s">
        <v>8</v>
      </c>
    </row>
    <row r="131" spans="1:6" ht="20.25" customHeight="1">
      <c r="A131" s="1">
        <v>130</v>
      </c>
      <c r="B131" s="2">
        <v>7.2</v>
      </c>
      <c r="C131" s="2">
        <v>3</v>
      </c>
      <c r="D131" s="2">
        <v>5.8</v>
      </c>
      <c r="E131" s="2">
        <v>1.6</v>
      </c>
      <c r="F131" s="2" t="s">
        <v>8</v>
      </c>
    </row>
    <row r="132" spans="1:6" ht="18.75" customHeight="1">
      <c r="A132" s="1">
        <v>131</v>
      </c>
      <c r="B132" s="2">
        <v>7.4</v>
      </c>
      <c r="C132" s="2">
        <v>2.8</v>
      </c>
      <c r="D132" s="2">
        <v>6.1</v>
      </c>
      <c r="E132" s="2">
        <v>1.9</v>
      </c>
      <c r="F132" s="2" t="s">
        <v>8</v>
      </c>
    </row>
    <row r="133" spans="1:6" ht="20.25" customHeight="1">
      <c r="A133" s="1">
        <v>132</v>
      </c>
      <c r="B133" s="2">
        <v>7.9</v>
      </c>
      <c r="C133" s="2">
        <v>3.8</v>
      </c>
      <c r="D133" s="2">
        <v>6.4</v>
      </c>
      <c r="E133" s="2">
        <v>2</v>
      </c>
      <c r="F133" s="2" t="s">
        <v>8</v>
      </c>
    </row>
    <row r="134" spans="1:6" ht="21" customHeight="1">
      <c r="A134" s="1">
        <v>133</v>
      </c>
      <c r="B134" s="2">
        <v>6.4</v>
      </c>
      <c r="C134" s="2">
        <v>2.8</v>
      </c>
      <c r="D134" s="2">
        <v>5.6</v>
      </c>
      <c r="E134" s="2">
        <v>2.2000000000000002</v>
      </c>
      <c r="F134" s="2" t="s">
        <v>8</v>
      </c>
    </row>
    <row r="135" spans="1:6" ht="21.75" customHeight="1">
      <c r="A135" s="1">
        <v>134</v>
      </c>
      <c r="B135" s="2">
        <v>6.3</v>
      </c>
      <c r="C135" s="2">
        <v>2.8</v>
      </c>
      <c r="D135" s="2">
        <v>5.0999999999999996</v>
      </c>
      <c r="E135" s="2">
        <v>1.5</v>
      </c>
      <c r="F135" s="2" t="s">
        <v>8</v>
      </c>
    </row>
    <row r="136" spans="1:6" ht="21" customHeight="1">
      <c r="A136" s="1">
        <v>135</v>
      </c>
      <c r="B136" s="2">
        <v>6.1</v>
      </c>
      <c r="C136" s="2">
        <v>2.6</v>
      </c>
      <c r="D136" s="2">
        <v>5.6</v>
      </c>
      <c r="E136" s="2">
        <v>1.4</v>
      </c>
      <c r="F136" s="2" t="s">
        <v>8</v>
      </c>
    </row>
    <row r="137" spans="1:6" ht="21" customHeight="1">
      <c r="A137" s="1">
        <v>136</v>
      </c>
      <c r="B137" s="2">
        <v>7.7</v>
      </c>
      <c r="C137" s="2">
        <v>3</v>
      </c>
      <c r="D137" s="2">
        <v>6.1</v>
      </c>
      <c r="E137" s="2">
        <v>2.2999999999999998</v>
      </c>
      <c r="F137" s="2" t="s">
        <v>8</v>
      </c>
    </row>
    <row r="138" spans="1:6" ht="20.25" customHeight="1">
      <c r="A138" s="1">
        <v>137</v>
      </c>
      <c r="B138" s="2">
        <v>6.3</v>
      </c>
      <c r="C138" s="2">
        <v>3.4</v>
      </c>
      <c r="D138" s="2">
        <v>5.6</v>
      </c>
      <c r="E138" s="2">
        <v>2.4</v>
      </c>
      <c r="F138" s="2" t="s">
        <v>8</v>
      </c>
    </row>
    <row r="139" spans="1:6" ht="16.5" customHeight="1">
      <c r="A139" s="1">
        <v>138</v>
      </c>
      <c r="B139" s="2">
        <v>6.4</v>
      </c>
      <c r="C139" s="2">
        <v>3.1</v>
      </c>
      <c r="D139" s="2">
        <v>5.5</v>
      </c>
      <c r="E139" s="2">
        <v>1.8</v>
      </c>
      <c r="F139" s="2" t="s">
        <v>8</v>
      </c>
    </row>
    <row r="140" spans="1:6" ht="18.75" customHeight="1">
      <c r="A140" s="1">
        <v>139</v>
      </c>
      <c r="B140" s="2">
        <v>6</v>
      </c>
      <c r="C140" s="2">
        <v>3</v>
      </c>
      <c r="D140" s="2">
        <v>4.8</v>
      </c>
      <c r="E140" s="2">
        <v>1.8</v>
      </c>
      <c r="F140" s="2" t="s">
        <v>8</v>
      </c>
    </row>
    <row r="141" spans="1:6" ht="18.75" customHeight="1">
      <c r="A141" s="1">
        <v>140</v>
      </c>
      <c r="B141" s="2">
        <v>6.9</v>
      </c>
      <c r="C141" s="2">
        <v>3.1</v>
      </c>
      <c r="D141" s="2">
        <v>5.4</v>
      </c>
      <c r="E141" s="2">
        <v>2.1</v>
      </c>
      <c r="F141" s="2" t="s">
        <v>8</v>
      </c>
    </row>
    <row r="142" spans="1:6" ht="19.5" customHeight="1">
      <c r="A142" s="1">
        <v>141</v>
      </c>
      <c r="B142" s="2">
        <v>6.7</v>
      </c>
      <c r="C142" s="2">
        <v>3.1</v>
      </c>
      <c r="D142" s="2">
        <v>5.6</v>
      </c>
      <c r="E142" s="2">
        <v>2.4</v>
      </c>
      <c r="F142" s="2" t="s">
        <v>8</v>
      </c>
    </row>
    <row r="143" spans="1:6" ht="19.5" customHeight="1">
      <c r="A143" s="1">
        <v>142</v>
      </c>
      <c r="B143" s="2">
        <v>6.9</v>
      </c>
      <c r="C143" s="2">
        <v>3.1</v>
      </c>
      <c r="D143" s="2">
        <v>5.0999999999999996</v>
      </c>
      <c r="E143" s="2">
        <v>2.2999999999999998</v>
      </c>
      <c r="F143" s="2" t="s">
        <v>8</v>
      </c>
    </row>
    <row r="144" spans="1:6" ht="19.5" customHeight="1">
      <c r="A144" s="1">
        <v>143</v>
      </c>
      <c r="B144" s="2">
        <v>5.8</v>
      </c>
      <c r="C144" s="2">
        <v>2.7</v>
      </c>
      <c r="D144" s="2">
        <v>5.0999999999999996</v>
      </c>
      <c r="E144" s="2">
        <v>1.9</v>
      </c>
      <c r="F144" s="2" t="s">
        <v>8</v>
      </c>
    </row>
    <row r="145" spans="1:6" ht="19.5" customHeight="1">
      <c r="A145" s="1">
        <v>144</v>
      </c>
      <c r="B145" s="2">
        <v>6.8</v>
      </c>
      <c r="C145" s="2">
        <v>3.2</v>
      </c>
      <c r="D145" s="2">
        <v>5.9</v>
      </c>
      <c r="E145" s="2">
        <v>2.2999999999999998</v>
      </c>
      <c r="F145" s="2" t="s">
        <v>8</v>
      </c>
    </row>
    <row r="146" spans="1:6" ht="19.5" customHeight="1">
      <c r="A146" s="1">
        <v>145</v>
      </c>
      <c r="B146" s="2">
        <v>6.7</v>
      </c>
      <c r="C146" s="2">
        <v>3.3</v>
      </c>
      <c r="D146" s="2">
        <v>5.7</v>
      </c>
      <c r="E146" s="2">
        <v>2.5</v>
      </c>
      <c r="F146" s="2" t="s">
        <v>8</v>
      </c>
    </row>
    <row r="147" spans="1:6" ht="19.5" customHeight="1">
      <c r="A147" s="1">
        <v>146</v>
      </c>
      <c r="B147" s="2">
        <v>6.7</v>
      </c>
      <c r="C147" s="2">
        <v>3</v>
      </c>
      <c r="D147" s="2">
        <v>5.2</v>
      </c>
      <c r="E147" s="2">
        <v>2.2999999999999998</v>
      </c>
      <c r="F147" s="2" t="s">
        <v>8</v>
      </c>
    </row>
    <row r="148" spans="1:6" ht="19.5" customHeight="1">
      <c r="A148" s="1">
        <v>147</v>
      </c>
      <c r="B148" s="2">
        <v>6.3</v>
      </c>
      <c r="C148" s="2">
        <v>2.5</v>
      </c>
      <c r="D148" s="2">
        <v>5</v>
      </c>
      <c r="E148" s="2">
        <v>1.9</v>
      </c>
      <c r="F148" s="2" t="s">
        <v>8</v>
      </c>
    </row>
    <row r="149" spans="1:6" ht="19.5" customHeight="1">
      <c r="A149" s="1">
        <v>148</v>
      </c>
      <c r="B149" s="2">
        <v>6.5</v>
      </c>
      <c r="C149" s="2">
        <v>3</v>
      </c>
      <c r="D149" s="2">
        <v>5.2</v>
      </c>
      <c r="E149" s="2">
        <v>2</v>
      </c>
      <c r="F149" s="2" t="s">
        <v>8</v>
      </c>
    </row>
    <row r="150" spans="1:6" ht="19.5" customHeight="1">
      <c r="A150" s="1">
        <v>149</v>
      </c>
      <c r="B150" s="2">
        <v>6.2</v>
      </c>
      <c r="C150" s="2">
        <v>3.4</v>
      </c>
      <c r="D150" s="2">
        <v>5.4</v>
      </c>
      <c r="E150" s="2">
        <v>2.2999999999999998</v>
      </c>
      <c r="F150" s="2" t="s">
        <v>8</v>
      </c>
    </row>
    <row r="151" spans="1:6" ht="19.5" customHeight="1">
      <c r="A151" s="1">
        <v>150</v>
      </c>
      <c r="B151" s="2">
        <v>5.9</v>
      </c>
      <c r="C151" s="2">
        <v>3</v>
      </c>
      <c r="D151" s="2">
        <v>5.0999999999999996</v>
      </c>
      <c r="E151" s="2">
        <v>1.8</v>
      </c>
      <c r="F151" s="2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316D4-42B9-4DC9-A2C7-436E0D46A324}">
  <dimension ref="A1:B4"/>
  <sheetViews>
    <sheetView showGridLines="0" tabSelected="1" workbookViewId="0">
      <selection activeCell="N6" sqref="N6"/>
    </sheetView>
  </sheetViews>
  <sheetFormatPr defaultRowHeight="15"/>
  <cols>
    <col min="1" max="1" width="14.7109375" customWidth="1"/>
    <col min="2" max="2" width="19.42578125" customWidth="1"/>
  </cols>
  <sheetData>
    <row r="1" spans="1:2" ht="24" customHeight="1">
      <c r="A1" s="7" t="s">
        <v>5</v>
      </c>
      <c r="B1" s="7" t="s">
        <v>9</v>
      </c>
    </row>
    <row r="2" spans="1:2" ht="24" customHeight="1">
      <c r="A2" s="8" t="s">
        <v>6</v>
      </c>
      <c r="B2" s="8">
        <f>AVERAGEIF('Iris Data'!F:F,A2,'Iris Data'!D:D)</f>
        <v>1.464</v>
      </c>
    </row>
    <row r="3" spans="1:2" ht="24" customHeight="1">
      <c r="A3" s="8" t="s">
        <v>7</v>
      </c>
      <c r="B3" s="8">
        <f>AVERAGEIF('Iris Data'!F:F,A3,'Iris Data'!D:D)</f>
        <v>4.26</v>
      </c>
    </row>
    <row r="4" spans="1:2" ht="24" customHeight="1">
      <c r="A4" s="8" t="s">
        <v>8</v>
      </c>
      <c r="B4" s="8">
        <f>AVERAGEIF('Iris Data'!F:F,A4,'Iris Data'!D:D)</f>
        <v>5.5519999999999996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B8C73-A7C6-4367-BC11-5EF121F9DCE0}">
  <dimension ref="A1:B4"/>
  <sheetViews>
    <sheetView showGridLines="0" workbookViewId="0">
      <selection activeCell="M14" sqref="M14"/>
    </sheetView>
  </sheetViews>
  <sheetFormatPr defaultRowHeight="15"/>
  <cols>
    <col min="1" max="1" width="13.42578125" customWidth="1"/>
    <col min="2" max="2" width="21.5703125" customWidth="1"/>
  </cols>
  <sheetData>
    <row r="1" spans="1:2" ht="22.5" customHeight="1">
      <c r="A1" s="9" t="s">
        <v>5</v>
      </c>
      <c r="B1" s="9" t="s">
        <v>10</v>
      </c>
    </row>
    <row r="2" spans="1:2" ht="22.5" customHeight="1">
      <c r="A2" s="8" t="s">
        <v>6</v>
      </c>
      <c r="B2" s="8">
        <f>AVERAGEIF('Iris Data'!F:F,A2,'Iris Data'!B:B)</f>
        <v>5.0059999999999993</v>
      </c>
    </row>
    <row r="3" spans="1:2" ht="22.5" customHeight="1">
      <c r="A3" s="8" t="s">
        <v>7</v>
      </c>
      <c r="B3" s="8">
        <f>AVERAGEIF('Iris Data'!F:F,A3,'Iris Data'!B:B)</f>
        <v>5.9359999999999999</v>
      </c>
    </row>
    <row r="4" spans="1:2" ht="22.5" customHeight="1">
      <c r="A4" s="8" t="s">
        <v>8</v>
      </c>
      <c r="B4" s="8">
        <f>AVERAGEIF('Iris Data'!F:F,A4,'Iris Data'!B:B)</f>
        <v>6.5879999999999983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A9686-A3FE-4BB6-A799-BF3D26373988}">
  <dimension ref="A1:B4"/>
  <sheetViews>
    <sheetView showGridLines="0" workbookViewId="0">
      <selection activeCell="G17" sqref="G17"/>
    </sheetView>
  </sheetViews>
  <sheetFormatPr defaultRowHeight="15"/>
  <cols>
    <col min="1" max="1" width="12.28515625" customWidth="1"/>
  </cols>
  <sheetData>
    <row r="1" spans="1:2" ht="24.75" customHeight="1">
      <c r="A1" s="9" t="s">
        <v>5</v>
      </c>
      <c r="B1" s="9" t="s">
        <v>11</v>
      </c>
    </row>
    <row r="2" spans="1:2" ht="24.75" customHeight="1">
      <c r="A2" s="8" t="s">
        <v>6</v>
      </c>
      <c r="B2" s="8">
        <f>COUNTIF('Iris Data'!F:F,A2)</f>
        <v>50</v>
      </c>
    </row>
    <row r="3" spans="1:2" ht="24.75" customHeight="1">
      <c r="A3" s="8" t="s">
        <v>7</v>
      </c>
      <c r="B3" s="8">
        <f>COUNTIF('Iris Data'!F:F,A3)</f>
        <v>50</v>
      </c>
    </row>
    <row r="4" spans="1:2" ht="24.75" customHeight="1">
      <c r="A4" s="8" t="s">
        <v>8</v>
      </c>
      <c r="B4" s="8">
        <f>COUNTIF('Iris Data'!F:F,A4)</f>
        <v>50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98C65-F793-49E7-9D14-97252DD9B241}">
  <dimension ref="A1:B4"/>
  <sheetViews>
    <sheetView showGridLines="0" workbookViewId="0">
      <selection activeCell="N1" sqref="N1"/>
    </sheetView>
  </sheetViews>
  <sheetFormatPr defaultRowHeight="15"/>
  <cols>
    <col min="1" max="1" width="12.28515625" customWidth="1"/>
    <col min="2" max="2" width="20.28515625" customWidth="1"/>
  </cols>
  <sheetData>
    <row r="1" spans="1:2" s="8" customFormat="1" ht="26.25" customHeight="1">
      <c r="A1" s="9" t="s">
        <v>5</v>
      </c>
      <c r="B1" s="9" t="s">
        <v>12</v>
      </c>
    </row>
    <row r="2" spans="1:2" s="8" customFormat="1" ht="26.25" customHeight="1">
      <c r="A2" s="8" t="s">
        <v>6</v>
      </c>
      <c r="B2" s="8">
        <f>AVERAGEIF('Iris Data'!F:F,A2,'Iris Data'!E:E)</f>
        <v>0.24399999999999991</v>
      </c>
    </row>
    <row r="3" spans="1:2" s="8" customFormat="1" ht="26.25" customHeight="1">
      <c r="A3" s="8" t="s">
        <v>7</v>
      </c>
      <c r="B3" s="8">
        <f>AVERAGEIF('Iris Data'!F:F,A3,'Iris Data'!E:E)</f>
        <v>1.3259999999999998</v>
      </c>
    </row>
    <row r="4" spans="1:2" s="8" customFormat="1" ht="26.25" customHeight="1">
      <c r="A4" s="8" t="s">
        <v>8</v>
      </c>
      <c r="B4" s="8">
        <f>AVERAGEIF('Iris Data'!F:F,A4,'Iris Data'!E:E)</f>
        <v>2.0259999999999998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6011D-156B-48F3-BFCD-B196B78FA38C}">
  <dimension ref="A1:J28"/>
  <sheetViews>
    <sheetView showGridLines="0" workbookViewId="0">
      <selection activeCell="L1" sqref="L1"/>
    </sheetView>
  </sheetViews>
  <sheetFormatPr defaultRowHeight="15"/>
  <cols>
    <col min="1" max="1" width="37.42578125" customWidth="1"/>
    <col min="10" max="10" width="9.140625" customWidth="1"/>
  </cols>
  <sheetData>
    <row r="1" spans="1:10" ht="21">
      <c r="A1" s="12" t="s">
        <v>13</v>
      </c>
      <c r="B1" s="12"/>
      <c r="C1" s="12"/>
      <c r="D1" s="12"/>
      <c r="E1" s="12"/>
      <c r="F1" s="12"/>
      <c r="G1" s="12"/>
      <c r="H1" s="12"/>
      <c r="I1" s="12"/>
      <c r="J1" s="12"/>
    </row>
    <row r="28" spans="1:2" ht="23.25">
      <c r="A28" s="10"/>
      <c r="B28" s="11"/>
    </row>
  </sheetData>
  <mergeCells count="1">
    <mergeCell ref="A1:J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2026-10-26T08:54:09Z</dcterms:created>
  <dcterms:modified xsi:type="dcterms:W3CDTF">2026-10-26T12:26:19Z</dcterms:modified>
  <cp:category/>
  <cp:contentStatus/>
</cp:coreProperties>
</file>